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EDA" sheetId="2" r:id="rId6"/>
    <sheet state="visible" name="SQL Queries" sheetId="3" r:id="rId7"/>
    <sheet state="visible" name="Dashboard" sheetId="4" r:id="rId8"/>
    <sheet state="visible" name="Conclusions" sheetId="5" r:id="rId9"/>
  </sheets>
  <definedNames>
    <definedName hidden="1" localSheetId="0" name="_xlnm._FilterDatabase">'Raw Data'!$A$1:$L$1000</definedName>
    <definedName hidden="1" localSheetId="1" name="_xlnm._FilterDatabase">EDA!$A$3:$Z$605</definedName>
    <definedName name="MY_FUNCTION2">LAMBDA(IF(OR(ISBLANK(EDA!$F$3), EDA!$F$3=0), AVERAGEIF(EDA!$F$3:$F$601, "&gt;0"), EDA!$F$3))</definedName>
    <definedName name="MY_FUNCTION1">LAMBDA(IF(ISBLANK(EDA!$F$3),AVERAGE(EDA!$F$3:$F$601),EDA!$F$3))</definedName>
  </definedNames>
  <calcPr/>
  <pivotCaches>
    <pivotCache cacheId="0" r:id="rId10"/>
  </pivotCaches>
</workbook>
</file>

<file path=xl/sharedStrings.xml><?xml version="1.0" encoding="utf-8"?>
<sst xmlns="http://schemas.openxmlformats.org/spreadsheetml/2006/main" count="6201" uniqueCount="1352">
  <si>
    <t>student_id</t>
  </si>
  <si>
    <t>course_id</t>
  </si>
  <si>
    <t>enroll_date</t>
  </si>
  <si>
    <t>completion_date</t>
  </si>
  <si>
    <t>course_category</t>
  </si>
  <si>
    <t>course_rating</t>
  </si>
  <si>
    <t>progress_percent</t>
  </si>
  <si>
    <t>completed</t>
  </si>
  <si>
    <t>hours_spent</t>
  </si>
  <si>
    <t>country</t>
  </si>
  <si>
    <t>device</t>
  </si>
  <si>
    <t>retained_after_30d</t>
  </si>
  <si>
    <t>cce730c3-9ef3-4908-98fd-9bbd3cf0f581</t>
  </si>
  <si>
    <t>c3646abb-6357-4ff9-888d-44307ebc13de</t>
  </si>
  <si>
    <t>Design</t>
  </si>
  <si>
    <t>Germany</t>
  </si>
  <si>
    <t>Tablet</t>
  </si>
  <si>
    <t>1c8eee56-baa9-41bd-8631-178c4e031945</t>
  </si>
  <si>
    <t>95a9248a-784c-4e23-ab91-2d50c8166c68</t>
  </si>
  <si>
    <t>UK</t>
  </si>
  <si>
    <t>3b698e92-f0b7-45c1-98f8-c5059e58adad</t>
  </si>
  <si>
    <t>d745141a-a0be-4ac0-810e-692097da03ce</t>
  </si>
  <si>
    <t>Business</t>
  </si>
  <si>
    <t>France</t>
  </si>
  <si>
    <t>d9466dbd-2174-4f99-8c1a-8c6c01c5887c</t>
  </si>
  <si>
    <t>22bb11df-c89a-49f5-be9b-0caf2704f618</t>
  </si>
  <si>
    <t>Mobile</t>
  </si>
  <si>
    <t>1bea3447-5bea-41c7-ab4d-f986e6fde451</t>
  </si>
  <si>
    <t>1a77e025-2a7b-4805-a5c5-0188d77a7525</t>
  </si>
  <si>
    <t>Data Science</t>
  </si>
  <si>
    <t>289a8ea6-642e-4b99-8fd3-3636bcfff1d5</t>
  </si>
  <si>
    <t>333a070a-b557-4b2e-af6a-91a96ef7371a</t>
  </si>
  <si>
    <t>USA</t>
  </si>
  <si>
    <t>bab505e1-4553-46f6-bc5b-a1f3a7578204</t>
  </si>
  <si>
    <t>f695765c-a26f-400a-ba3a-a285ffee86ae</t>
  </si>
  <si>
    <t>India</t>
  </si>
  <si>
    <t>2ea71ca3-dcc9-4308-aa6a-9dd40e633410</t>
  </si>
  <si>
    <t>1372c380-c140-441c-b635-8066e5d151bc</t>
  </si>
  <si>
    <t>Marketing</t>
  </si>
  <si>
    <t>6687893e-b67b-44a7-8b91-8a1597d6ac6e</t>
  </si>
  <si>
    <t>52d57a77-4a92-44b5-ad65-767a55d591cb</t>
  </si>
  <si>
    <t>5209afee-c45c-4646-bc03-aa6b4e728b5c</t>
  </si>
  <si>
    <t>88262933-ca7c-4fb9-b1f1-769142d77788</t>
  </si>
  <si>
    <t>ffa30b8e-fc9b-45d5-beb4-90941141d853</t>
  </si>
  <si>
    <t>d2d92ae0-0131-4401-a893-2907767aabdb</t>
  </si>
  <si>
    <t>373def54-c256-4f5a-8cf5-f57bff0152c2</t>
  </si>
  <si>
    <t>5b3d4dca-0197-4560-a54f-4179c5b0b029</t>
  </si>
  <si>
    <t>Desktop</t>
  </si>
  <si>
    <t>e5343efa-051f-4846-881b-7c410937b7d1</t>
  </si>
  <si>
    <t>18020988-974c-40b3-94e9-74068bf8d6f2</t>
  </si>
  <si>
    <t>700982ed-64b8-4640-bc21-47e219c8e6a7</t>
  </si>
  <si>
    <t>a285743e-2044-48d1-88c7-2ee8a69e49b2</t>
  </si>
  <si>
    <t>eeae577b-7f01-4a35-8620-b2e4a07ed3f0</t>
  </si>
  <si>
    <t>43b17f71-354e-4e9b-8d66-86182a2ea746</t>
  </si>
  <si>
    <t>afe9d25a-0a92-482e-b447-757a7e487596</t>
  </si>
  <si>
    <t>50f8768f-b8f6-44a9-8bb8-a3971705b698</t>
  </si>
  <si>
    <t>d9f704d8-a778-4f93-b391-da1abbf7c7f1</t>
  </si>
  <si>
    <t>db0f0720-758a-4873-bf46-019ec0db9f93</t>
  </si>
  <si>
    <t>36ee6d3c-95ff-4c64-ac5d-cf0877ba4c3b</t>
  </si>
  <si>
    <t>1d8f34d9-3c13-44eb-9c8d-04b41a067c6e</t>
  </si>
  <si>
    <t>6399a1d2-b5be-4cde-9399-a0728700f97c</t>
  </si>
  <si>
    <t>4742adef-d0f2-48f8-afda-6b3a5e75e267</t>
  </si>
  <si>
    <t>ad268ad8-afdd-4ee4-a4a5-d3babe93afce</t>
  </si>
  <si>
    <t>10b94515-0727-41ba-a43c-f05a62e973d6</t>
  </si>
  <si>
    <t>41452e61-0c74-4c90-8712-a8a5613f1e69</t>
  </si>
  <si>
    <t>5bf42cae-25ca-4f21-94ab-7e67aba11ae3</t>
  </si>
  <si>
    <t>83b951f1-534b-40c3-97d9-ca4b9005f644</t>
  </si>
  <si>
    <t>0a1ef423-c774-4f6f-b3cf-95610dacd533</t>
  </si>
  <si>
    <t>fb366f4c-6e51-4e45-8552-17da04f1bf72</t>
  </si>
  <si>
    <t>1a7ebc6e-cb13-4fa0-a78b-8f470400fc00</t>
  </si>
  <si>
    <t>44ae1d15-95f9-415f-b5c1-860020e8643e</t>
  </si>
  <si>
    <t>4d5dfd0c-5b89-460d-bf9c-4067d85ffa98</t>
  </si>
  <si>
    <t>95a75e2f-cedb-4dcd-acaf-9c00752e4b48</t>
  </si>
  <si>
    <t>fdcaa6b6-3633-478c-9932-97f50559300b</t>
  </si>
  <si>
    <t>abf5ad77-6b08-4072-99d0-6c3ffc1c99e2</t>
  </si>
  <si>
    <t>6f630d69-66d7-4b3f-92cd-ce83d6a1ce06</t>
  </si>
  <si>
    <t>8268a58c-fb4b-42bf-8b67-32b7e943d134</t>
  </si>
  <si>
    <t>66aa5ddf-1a0a-484c-a00d-3f4d56a7e7b7</t>
  </si>
  <si>
    <t>b93f08ee-5d61-4bce-beda-1b6d82ec4d5a</t>
  </si>
  <si>
    <t>0571bb4d-3cd7-4d44-88f9-05859805c3f5</t>
  </si>
  <si>
    <t>90a68172-f944-4054-9f2a-17a58a34db0d</t>
  </si>
  <si>
    <t>ed3adabb-4224-4117-94ce-5194929f5dc4</t>
  </si>
  <si>
    <t>169b1c5b-5707-435d-84b2-d266376407b6</t>
  </si>
  <si>
    <t>c46ed6d5-ade6-4f76-9ff1-022102c3e287</t>
  </si>
  <si>
    <t>c0bb3a74-e5dc-4bf5-896a-3496066308ca</t>
  </si>
  <si>
    <t>24902e0b-e1f4-46d1-9f75-5ba15aa128f8</t>
  </si>
  <si>
    <t>0d76aa16-2605-4ad2-9e4b-45b57cbb6187</t>
  </si>
  <si>
    <t>b0a0a5ec-b143-41a8-a772-b000ee9c0a32</t>
  </si>
  <si>
    <t>4c31e6d4-7d7c-4a3b-85b1-fe33d7385185</t>
  </si>
  <si>
    <t>96a766c7-d8d7-4728-a19d-d3464232eaf9</t>
  </si>
  <si>
    <t>28cc9682-41da-4cf8-8cbc-2705fe4ccd1f</t>
  </si>
  <si>
    <t>d9a74708-71ef-4a7e-9304-395e6678b0c1</t>
  </si>
  <si>
    <t>0f266902-f574-455f-8e85-6b8622c66d8e</t>
  </si>
  <si>
    <t>e0371364-ea81-4930-b7d3-39f4749c13dd</t>
  </si>
  <si>
    <t>91b42016-c95d-4b81-b083-4b5891d3fe14</t>
  </si>
  <si>
    <t>fce3de29-0a78-4854-8211-83e86e09ff08</t>
  </si>
  <si>
    <t>8c08e75a-40ba-4a0f-a0b7-218152b7f01d</t>
  </si>
  <si>
    <t>0dfb75cf-59d8-4ac1-b3d1-f783e311da73</t>
  </si>
  <si>
    <t>b5357b2c-8e19-46f2-aa07-5f63fafc2ca6</t>
  </si>
  <si>
    <t>1af6580f-6d75-4252-b454-ae534b20e116</t>
  </si>
  <si>
    <t>2e94b6f5-aaba-4a17-bff9-ae301bf93bcb</t>
  </si>
  <si>
    <t>deae11e3-0aaa-4f95-af2c-eb958c803657</t>
  </si>
  <si>
    <t>8e56f251-83cc-4836-9441-1a75b988eb62</t>
  </si>
  <si>
    <t>a3857fdb-59af-4adf-bad4-da061c10d6c9</t>
  </si>
  <si>
    <t>9ea4df83-7f0a-420b-9366-ac1d6515398c</t>
  </si>
  <si>
    <t>48ac7add-5aad-4917-8eda-dd69d5d49900</t>
  </si>
  <si>
    <t>7a07a821-c82f-4d09-b859-6fdb24583070</t>
  </si>
  <si>
    <t>87f89f4b-61c2-4e42-8eeb-ce64bb8eb038</t>
  </si>
  <si>
    <t>bf716e65-a53f-4bec-bbd3-1fc1cfda1add</t>
  </si>
  <si>
    <t>cd32b47c-631d-4eeb-8a19-1c6961c365dd</t>
  </si>
  <si>
    <t>064f94bf-0ef8-4629-893f-222b0b8fefe4</t>
  </si>
  <si>
    <t>9a47f697-e37f-4848-981d-6daaa368447b</t>
  </si>
  <si>
    <t>8158281f-ea72-4f3c-a7ce-d951d9236205</t>
  </si>
  <si>
    <t>7ab0ef24-75f6-492b-bcd5-bf28f85cc2f4</t>
  </si>
  <si>
    <t>acb342d4-1cab-44bd-99f9-a2b6c0bb25f9</t>
  </si>
  <si>
    <t>fbd40de9-f004-4b70-9d0d-ae1db81d5281</t>
  </si>
  <si>
    <t>11235205-3b9f-4f0d-9c01-75d8c3d199f2</t>
  </si>
  <si>
    <t>9087b05a-3c0b-430d-9113-9fa2fe597ccb</t>
  </si>
  <si>
    <t>6c9073b3-8df0-4247-9bed-616784d9c357</t>
  </si>
  <si>
    <t>a0375c1a-c466-4d1e-8598-e34a784c39fd</t>
  </si>
  <si>
    <t>38516f38-57de-43a2-a11c-8ae063e3ece8</t>
  </si>
  <si>
    <t>48b9c111-b185-4897-9844-38716d0925e8</t>
  </si>
  <si>
    <t>d9954086-cccc-4ce0-a01d-ad41051018cd</t>
  </si>
  <si>
    <t>f86a42d6-db50-4184-9b61-398553fa10a2</t>
  </si>
  <si>
    <t>2b9f85bb-5361-4a42-ae6d-b913698b3a44</t>
  </si>
  <si>
    <t>a449a73b-21d4-41b7-ae45-683cb467d8ac</t>
  </si>
  <si>
    <t>7d854317-e7c1-40f7-b4c5-da3ea3bbf785</t>
  </si>
  <si>
    <t>b72af937-473f-48a2-b8d6-03a3a468336e</t>
  </si>
  <si>
    <t>6226ca5f-dfc5-4dbc-b040-5b275cd5a2c1</t>
  </si>
  <si>
    <t>293d0b14-c254-4151-bf9a-75dc5317ccb3</t>
  </si>
  <si>
    <t>c0a08497-3d5a-4872-9ce1-6a2239a7c94b</t>
  </si>
  <si>
    <t>0344324f-982f-40a9-80d6-216a07bc5630</t>
  </si>
  <si>
    <t>34156cda-e537-4db1-ad4a-905ef931b13e</t>
  </si>
  <si>
    <t>83eecb40-f1a9-4855-a5f0-9c8564469e42</t>
  </si>
  <si>
    <t>139c77c9-91bf-4715-bebe-8ad07714d461</t>
  </si>
  <si>
    <t>0fde45c5-ddf5-452d-9ad0-53de6fd6f23f</t>
  </si>
  <si>
    <t>b36a87ad-c410-48bc-9d27-2d89376acba9</t>
  </si>
  <si>
    <t>49a815dc-7f51-48de-9812-8635495deb56</t>
  </si>
  <si>
    <t>196b9e48-576d-4b43-b779-f15b8d650fb6</t>
  </si>
  <si>
    <t>7a6828fa-2644-4bf4-9c26-4c5685f48fdd</t>
  </si>
  <si>
    <t>59f748fb-04bf-40f7-bb23-bf3fff9d948e</t>
  </si>
  <si>
    <t>331fa529-c707-4b28-8b87-3a66e8847154</t>
  </si>
  <si>
    <t>c053be0e-bc66-49ca-be4b-d68be4ca4aa4</t>
  </si>
  <si>
    <t>044ed322-8c98-4c49-b540-33b718ac3907</t>
  </si>
  <si>
    <t>f67657d1-2078-45d6-b660-9103058cac56</t>
  </si>
  <si>
    <t>af6ffe8d-c240-4268-9f18-98c3aa9c2d75</t>
  </si>
  <si>
    <t>637aca1d-ea0d-4e68-b903-a62dea1e7752</t>
  </si>
  <si>
    <t>e99f4f84-f17b-493b-accf-e5b6393e50da</t>
  </si>
  <si>
    <t>37278155-f463-4bf8-937c-8ab1ce979d86</t>
  </si>
  <si>
    <t>944251ba-5553-4ac5-9ca7-7cd29d81268c</t>
  </si>
  <si>
    <t>ffa509a1-da95-444b-845f-0f5f62fd7800</t>
  </si>
  <si>
    <t>468221c8-c3f6-4326-a003-12ad7ebe037b</t>
  </si>
  <si>
    <t>35bba6f5-9f03-406d-a19d-e20cf5a84782</t>
  </si>
  <si>
    <t>9200567f-5fc8-44ed-9eaf-d724c59432e6</t>
  </si>
  <si>
    <t>4c888f86-ff8c-47cc-864d-bc43672ac72d</t>
  </si>
  <si>
    <t>58c8d6af-0ce7-4215-b3b7-95372b6abaef</t>
  </si>
  <si>
    <t>864cf519-447b-4f94-9e39-c2a8c35e9ebf</t>
  </si>
  <si>
    <t>d88009f8-c32b-412a-af84-dc55c39d90fa</t>
  </si>
  <si>
    <t>fee9050f-f4d5-45fe-b010-ca0ed16172f4</t>
  </si>
  <si>
    <t>dcb5701c-e897-4c55-b86b-76b7a0cfe9f5</t>
  </si>
  <si>
    <t>5489dea3-3700-4b57-b7a4-9641c50ee50b</t>
  </si>
  <si>
    <t>2719a4b7-8186-4a79-870b-93875ae83c9a</t>
  </si>
  <si>
    <t>1a876490-6bc0-47af-b348-d420b6605c8d</t>
  </si>
  <si>
    <t>e5810335-39a6-4b98-a741-d020b4a42888</t>
  </si>
  <si>
    <t>1b67be6a-1da8-4911-a87f-97152f64aa0c</t>
  </si>
  <si>
    <t>062e35b8-2580-42a2-bf96-4bd9f93a0f7b</t>
  </si>
  <si>
    <t>0a34886c-802e-4a41-86bc-6b82f5943dda</t>
  </si>
  <si>
    <t>4a5f7899-ee82-4918-b805-1d7499aa0225</t>
  </si>
  <si>
    <t>8232c528-ae1f-4118-97b0-473f5c139103</t>
  </si>
  <si>
    <t>f19159a2-7e48-4e2b-8fcd-9a153e62515c</t>
  </si>
  <si>
    <t>a19ba579-33cb-4771-af57-aa50e74d326c</t>
  </si>
  <si>
    <t>bd954e6a-b683-4371-ae12-8959bf4ec039</t>
  </si>
  <si>
    <t>172c1998-6417-4908-9d38-a996f340ca80</t>
  </si>
  <si>
    <t>a8ca44c9-5d02-40c5-9aac-21c211ff8519</t>
  </si>
  <si>
    <t>c0a0f7c0-9d72-4317-a93d-e507f79a890f</t>
  </si>
  <si>
    <t>11cbb930-94d0-4262-a965-2ff98a2e8edf</t>
  </si>
  <si>
    <t>e68f2449-78f4-48d8-a0c3-47f0f30a5d9c</t>
  </si>
  <si>
    <t>9d744daf-9b9f-463f-aedb-f4c9ca46ab7f</t>
  </si>
  <si>
    <t>4385c93f-c219-45a3-ac69-5d61b24a85c0</t>
  </si>
  <si>
    <t>9a6cb009-a626-41c6-adee-ba7dbcc2016b</t>
  </si>
  <si>
    <t>88f5b9e6-e83d-4800-a114-f27e19310e1a</t>
  </si>
  <si>
    <t>a616ad7b-0eb0-49f6-a8a7-02b14417110f</t>
  </si>
  <si>
    <t>ae7f1201-293f-4355-9522-d82dc46b3233</t>
  </si>
  <si>
    <t>14318eb0-9a04-4183-81f1-35fb8968e5e1</t>
  </si>
  <si>
    <t>b42bc50d-c553-4664-abf9-a5fea7cc0766</t>
  </si>
  <si>
    <t>0de90230-6ba7-4a7e-a282-90c0b7ddeba8</t>
  </si>
  <si>
    <t>024d4ab1-0f79-4c69-9380-d67510935b1e</t>
  </si>
  <si>
    <t>8492d15c-884a-40ba-99fe-435431fb7e4c</t>
  </si>
  <si>
    <t>a39bca8b-6276-4744-8a51-3cb176d99cba</t>
  </si>
  <si>
    <t>e6bf1f3d-7da0-424e-9fc2-21a9bd4cc455</t>
  </si>
  <si>
    <t>6b87c88f-b227-4afd-8e6f-dea24116933e</t>
  </si>
  <si>
    <t>875a67a4-1b26-42b0-829d-6457e69fd844</t>
  </si>
  <si>
    <t>09584d18-42a2-48aa-a0ab-508b75f9277c</t>
  </si>
  <si>
    <t>c277908c-0356-4867-ad73-013a4334ebf4</t>
  </si>
  <si>
    <t>03cc8bf9-6862-403f-b55d-aee71f2ba3e9</t>
  </si>
  <si>
    <t>a7458a9c-7980-4e26-a0ab-32a1ccd44726</t>
  </si>
  <si>
    <t>74fc3d01-2420-4519-805c-ef0650006b54</t>
  </si>
  <si>
    <t>375b3ffa-e1a3-432f-8087-f8b34ca5db45</t>
  </si>
  <si>
    <t>ab21ce77-9426-4590-a7cb-6ffd5ec6dc4a</t>
  </si>
  <si>
    <t>e3b8e422-a2af-4c46-8533-0e99dbafeb63</t>
  </si>
  <si>
    <t>4d90f38e-ad69-4131-920c-131ff94cde5e</t>
  </si>
  <si>
    <t>fe362397-6bc2-4163-9369-32fcec1c4d5c</t>
  </si>
  <si>
    <t>ef9d2194-45c3-44ff-875d-d2371d0f4614</t>
  </si>
  <si>
    <t>fd963c21-6a30-40f9-b8da-c5cc9555a61f</t>
  </si>
  <si>
    <t>03a5fab2-a04d-4ed4-be56-ed9f507de9cf</t>
  </si>
  <si>
    <t>29a5b4de-bb01-40ca-944f-b50cebb9270b</t>
  </si>
  <si>
    <t>3480604b-abfe-4497-b807-3bcaf78477c7</t>
  </si>
  <si>
    <t>e53f9d85-183e-487b-b6c1-26af89911612</t>
  </si>
  <si>
    <t>0ec7c92e-b36d-4c16-a3cc-0cc1274e9b70</t>
  </si>
  <si>
    <t>46e164de-82e6-41f2-9e3b-0d08e579830d</t>
  </si>
  <si>
    <t>399852a0-bd1b-4102-8d5c-141d6cf49ca8</t>
  </si>
  <si>
    <t>4d644dd1-b427-4f96-a367-41ee560b8db6</t>
  </si>
  <si>
    <t>7360ee70-5c31-445f-b1cf-a7310c273afa</t>
  </si>
  <si>
    <t>2789e561-747a-439a-aadf-28328271b43b</t>
  </si>
  <si>
    <t>aab70121-9f76-41a2-a56a-3628f6e16997</t>
  </si>
  <si>
    <t>935fe07f-08b9-47e2-a4ba-8e01b723529d</t>
  </si>
  <si>
    <t>786fcb82-40cf-4dc9-b9ba-2541502ca95a</t>
  </si>
  <si>
    <t>de580cf1-82e8-4b5b-ac34-fac4adffb59f</t>
  </si>
  <si>
    <t>b320bb80-ce69-47e2-8578-17246dd77797</t>
  </si>
  <si>
    <t>7ee4a7d1-f089-4ec8-9d1b-bcaabfa761be</t>
  </si>
  <si>
    <t>7a22f030-443e-4df9-9cb3-fe0dc0cc741d</t>
  </si>
  <si>
    <t>f48a8adc-0354-4b76-b3d3-2fcfd4c870f7</t>
  </si>
  <si>
    <t>aaabb8a7-b6bb-4b0e-b9a1-e2a9948ecb70</t>
  </si>
  <si>
    <t>b89c5e74-5a2f-4386-8d32-69fb73838282</t>
  </si>
  <si>
    <t>bd132d80-a915-490f-9ac8-595c1589043b</t>
  </si>
  <si>
    <t>cee65c12-efb7-47b4-aa05-a6c750974120</t>
  </si>
  <si>
    <t>ad1c7e09-feb9-49c5-bc99-4a970fead2ec</t>
  </si>
  <si>
    <t>22ed1c5f-963d-4714-8c91-47b2bf63cdec</t>
  </si>
  <si>
    <t>6d10bde4-d032-4a3b-86de-022fac19fdf9</t>
  </si>
  <si>
    <t>b917ea68-1d83-4c86-b943-346109dc46f2</t>
  </si>
  <si>
    <t>18f40db9-d6b1-4e90-ae75-e67b95af670e</t>
  </si>
  <si>
    <t>38c1608a-e634-4141-b569-90df6e2a2b5e</t>
  </si>
  <si>
    <t>f7aa009b-8d6e-40b0-a019-2110cbc4740f</t>
  </si>
  <si>
    <t>632927c5-7851-46ac-812d-3a1ae21c4499</t>
  </si>
  <si>
    <t>2ab65260-ade6-459c-9868-fa18cf5dc6dc</t>
  </si>
  <si>
    <t>4593adb5-7e17-4ac0-8a17-c43029b1f0c4</t>
  </si>
  <si>
    <t>116c00eb-243f-42b4-ab25-68c03c82b15f</t>
  </si>
  <si>
    <t>72686416-0a5b-412f-9796-88e7be6ea5f5</t>
  </si>
  <si>
    <t>950ad366-e0ab-42b8-9dd5-ec62ae0e22f6</t>
  </si>
  <si>
    <t>ef523332-c690-43d7-b4ac-bc7e707bd474</t>
  </si>
  <si>
    <t>58dbfaa7-f3fa-448e-bfa5-3ae524947600</t>
  </si>
  <si>
    <t>babe1086-f29f-407b-b49e-471fa783a07b</t>
  </si>
  <si>
    <t>aa741eb5-e680-4802-b8cc-5cecda992d44</t>
  </si>
  <si>
    <t>4b4fa022-b691-4c9f-866e-46fe6b2ceda8</t>
  </si>
  <si>
    <t>b5529380-3797-4a55-8149-13f87b108d52</t>
  </si>
  <si>
    <t>24636bc3-2615-45b9-94c2-e1d8ba0480a7</t>
  </si>
  <si>
    <t>de21eb83-5d37-4b75-a9ff-deae2154986f</t>
  </si>
  <si>
    <t>372f5318-8dd7-4323-987f-90bd60421a27</t>
  </si>
  <si>
    <t>b0fa2630-9371-4ea7-9065-208acea43229</t>
  </si>
  <si>
    <t>e93529e5-0036-4346-a3b0-d6a095fcd937</t>
  </si>
  <si>
    <t>bce3f115-d894-490e-9d29-4641340305ca</t>
  </si>
  <si>
    <t>215f6ed0-89e5-4ef2-879c-2d2ba74a4354</t>
  </si>
  <si>
    <t>562bed61-d985-4311-b3f2-88d447ed18b9</t>
  </si>
  <si>
    <t>ef6965bb-53b6-44f5-bf2a-cc18f9d871ad</t>
  </si>
  <si>
    <t>7677b8e0-4b71-42bb-9852-d52e299193ca</t>
  </si>
  <si>
    <t>c58ffcbe-861c-486b-87ec-16ce4ee7061c</t>
  </si>
  <si>
    <t>80a691e1-3ef0-449f-9321-b911289dca54</t>
  </si>
  <si>
    <t>2c70bbff-290d-4971-afc5-017d796323de</t>
  </si>
  <si>
    <t>1ad98fed-6008-47bb-8221-61c47e2ae692</t>
  </si>
  <si>
    <t>19831cdd-1adb-4087-a0d9-ba7a7caf256d</t>
  </si>
  <si>
    <t>7397cdd6-2cb5-454c-b4fa-e37fa1c2b9c5</t>
  </si>
  <si>
    <t>6d52250a-9504-40a1-8ccd-bb21868b4ca2</t>
  </si>
  <si>
    <t>ac582ac4-14f4-4448-b6ff-9d8b07789c67</t>
  </si>
  <si>
    <t>dfa9bcf0-6aac-4694-9fa3-f1b6c69400d4</t>
  </si>
  <si>
    <t>c474a200-f0a5-41be-a31f-b1b7bc3e4051</t>
  </si>
  <si>
    <t>130e7fb3-30dd-493e-8ea0-e0ffe80249a1</t>
  </si>
  <si>
    <t>8e45ff89-a4ac-43d6-9e6f-59162848213e</t>
  </si>
  <si>
    <t>359bc58b-914b-4ce5-983b-6e83be4cfa54</t>
  </si>
  <si>
    <t>c7bf4779-e973-4304-9b3f-ab5c25817a5a</t>
  </si>
  <si>
    <t>28eb4f1a-046f-48fb-bfdf-5feb40158586</t>
  </si>
  <si>
    <t>ef9c94f2-1519-47c7-b410-aa2963422883</t>
  </si>
  <si>
    <t>81692c17-130a-4f7c-8cda-4a752a46674d</t>
  </si>
  <si>
    <t>af370332-864c-4bc6-9505-cc2ff8976ffa</t>
  </si>
  <si>
    <t>46bcc5bc-ad3a-42f3-a119-c8697d4f8855</t>
  </si>
  <si>
    <t>673e994f-5f36-405e-9dec-636288d4148b</t>
  </si>
  <si>
    <t>302ad879-a68b-4f2d-b3e1-0a937e3ddc2e</t>
  </si>
  <si>
    <t>69c08294-c6e9-4b23-8590-1647b60d4931</t>
  </si>
  <si>
    <t>49e86c3b-afdd-4fbb-94e9-b1deb4eb1e34</t>
  </si>
  <si>
    <t>26f101d4-a868-4fd0-ad71-d400f6cf4e7a</t>
  </si>
  <si>
    <t>3c03cfc3-c684-4f69-a68e-affe0714aef6</t>
  </si>
  <si>
    <t>74646e38-581c-45bc-b72d-de3f32a37d10</t>
  </si>
  <si>
    <t>b8aa61fc-20ce-4104-a519-04dbd816a55f</t>
  </si>
  <si>
    <t>d48d9384-ce96-4431-b46b-c79829016262</t>
  </si>
  <si>
    <t>80cb3fd0-a731-4bc5-98d4-26aa2d23e3aa</t>
  </si>
  <si>
    <t>78188b69-9f2f-42d6-9674-4346a4685f64</t>
  </si>
  <si>
    <t>5861c593-0a7b-4819-a0c1-6d5023c1d9ce</t>
  </si>
  <si>
    <t>f8fa7299-8fc2-4640-ab3a-9131cfe3c2e8</t>
  </si>
  <si>
    <t>32ec42ff-a2e3-4f81-ae79-01c7ed0f3b81</t>
  </si>
  <si>
    <t>f9fdae73-6f40-4cfc-ab9f-053e11a0abb6</t>
  </si>
  <si>
    <t>eec8cf25-a611-4120-9828-99714492b0fb</t>
  </si>
  <si>
    <t>59e7659c-3bc9-4c59-8139-6d1a8ceceb63</t>
  </si>
  <si>
    <t>505378ae-62b7-4142-8621-2ff765e8dd25</t>
  </si>
  <si>
    <t>bc1669d6-3c1a-44cf-a71b-d0d9667946f8</t>
  </si>
  <si>
    <t>543c6c18-ef69-4442-ad2c-53ec1bd58871</t>
  </si>
  <si>
    <t>b3f59339-4676-4792-aec4-6a36c7a02d7c</t>
  </si>
  <si>
    <t>c05e2d0b-b39e-4325-b779-ccdf7058df85</t>
  </si>
  <si>
    <t>06b91d3d-2efe-493b-9f00-2b5a7c1e3a6e</t>
  </si>
  <si>
    <t>9530d3d5-a5bb-430b-a780-0ea8ebb24418</t>
  </si>
  <si>
    <t>54e8084c-bd95-45b9-be39-f2968f501c59</t>
  </si>
  <si>
    <t>5239cd7a-a620-461e-9248-23f6b4b9879b</t>
  </si>
  <si>
    <t>4280ea37-ccd3-42ee-8b73-fb3c5b32db8e</t>
  </si>
  <si>
    <t>a6c9b241-53ca-4f8e-96a8-3fd917af2503</t>
  </si>
  <si>
    <t>1507430c-4971-4af4-89a2-97585fb6351e</t>
  </si>
  <si>
    <t>7415d3bf-513f-402c-8e21-0d34e34267ea</t>
  </si>
  <si>
    <t>3b3aa572-7475-4abb-8ddf-8e7a35ccc420</t>
  </si>
  <si>
    <t>998a1858-5f61-4096-8b87-4ce240b61017</t>
  </si>
  <si>
    <t>fd6f2758-09c6-4817-82b4-db61995cced9</t>
  </si>
  <si>
    <t>db01d767-6ac3-4ac7-a6f5-cfa6179e7b9e</t>
  </si>
  <si>
    <t>6c7bd3fe-ae7d-4c14-bafc-1ac31811321d</t>
  </si>
  <si>
    <t>688215ad-9a90-4f76-992c-0f5ad99fa0e9</t>
  </si>
  <si>
    <t>cc070722-552e-4bb0-8052-e1b71ee9cbbb</t>
  </si>
  <si>
    <t>dd587ca0-7f96-4177-9478-6d4b8646af16</t>
  </si>
  <si>
    <t>ae3fad60-5119-4cdb-b22d-debfb547e93f</t>
  </si>
  <si>
    <t>2f071432-4ec0-48d6-afd8-b22b9a6284d6</t>
  </si>
  <si>
    <t>b0f6643d-c4c4-4010-bb5a-2c9951940eaa</t>
  </si>
  <si>
    <t>3f9d178c-99f7-4937-b48e-1d64ce93e03e</t>
  </si>
  <si>
    <t>a8af8702-96f7-4709-9e1c-0efd885eba3b</t>
  </si>
  <si>
    <t>2b11052a-3626-49df-acbe-143d8ae17b9a</t>
  </si>
  <si>
    <t>e3b57e5b-ec0d-49c6-83c9-8b69ee2a6d3f</t>
  </si>
  <si>
    <t>b2fc73ea-eb60-443d-b37b-36aac26e7e9f</t>
  </si>
  <si>
    <t>3ad88a3c-befd-4012-8e0b-4dce5d20309b</t>
  </si>
  <si>
    <t>52e411d0-46b9-46af-b018-3fa7625023a4</t>
  </si>
  <si>
    <t>2125ec3a-2dae-4665-aaa3-0447c1c46717</t>
  </si>
  <si>
    <t>2f2f9420-23e4-4313-8b29-94f5bf6bee62</t>
  </si>
  <si>
    <t>859029b9-a948-4a9a-b697-e50c01cb171a</t>
  </si>
  <si>
    <t>f822c528-eb02-4ca0-8f78-7dba219221c7</t>
  </si>
  <si>
    <t>8afdd391-cc41-45e1-ac15-8742e7deda7b</t>
  </si>
  <si>
    <t>8534af6a-11e8-422d-8072-5d931a09bce7</t>
  </si>
  <si>
    <t>850923b3-d4a8-43c7-af51-0abccebc5c23</t>
  </si>
  <si>
    <t>d873ebcb-fbc4-41d0-82ee-8c58ecea7b07</t>
  </si>
  <si>
    <t>212193eb-d9f6-4946-83c4-52e19ce07e6d</t>
  </si>
  <si>
    <t>357a144d-b3f2-4b17-b0c7-5b3359861e5e</t>
  </si>
  <si>
    <t>14fc02f0-7b85-4413-a222-8d40d4f87897</t>
  </si>
  <si>
    <t>a930360c-360d-40d3-afe9-2a2b900c097a</t>
  </si>
  <si>
    <t>14e99b77-fae7-4dd2-9403-295e2190131d</t>
  </si>
  <si>
    <t>42cbb4a8-68c2-49b1-bc38-6fb98c3a19ff</t>
  </si>
  <si>
    <t>15bc455d-2424-4679-86ea-3809a3128f0d</t>
  </si>
  <si>
    <t>ad176836-557c-40bd-b382-e63208a7221e</t>
  </si>
  <si>
    <t>6827778b-85fb-4a40-812e-414af5d0d19a</t>
  </si>
  <si>
    <t>919d0c06-429d-42b5-ba22-0b80fd67888c</t>
  </si>
  <si>
    <t>8757c725-951f-4564-b551-26c9d3894c0e</t>
  </si>
  <si>
    <t>81df9a17-13b8-4566-8a93-b88838dc26d0</t>
  </si>
  <si>
    <t>e705399a-c287-47be-b589-01b7b4aeeccf</t>
  </si>
  <si>
    <t>a0fcf11f-81d4-44a0-a2af-072dd10132fc</t>
  </si>
  <si>
    <t>74ee5979-663b-435d-96c9-9850fef666b1</t>
  </si>
  <si>
    <t>db8cd56e-a976-4bbb-805a-081ecca50e90</t>
  </si>
  <si>
    <t>fe784b3d-0be8-4882-8e2a-28e18100f337</t>
  </si>
  <si>
    <t>5a6e1090-850f-4aae-b00e-a3461bf9a01f</t>
  </si>
  <si>
    <t>d40370bb-a870-433e-ad97-7ed1e9c60041</t>
  </si>
  <si>
    <t>623bc3cd-2d78-4b7a-a9ae-672615f8850e</t>
  </si>
  <si>
    <t>c62338f0-e0f7-4788-a3a8-9885976690be</t>
  </si>
  <si>
    <t>1acc2106-eafb-41d5-816d-758de359e6a8</t>
  </si>
  <si>
    <t>b6a8fba6-368c-4608-b9bf-01681184ea07</t>
  </si>
  <si>
    <t>ea656ddc-68c5-407f-8dca-eb0096cbafff</t>
  </si>
  <si>
    <t>abc42a9b-ed6b-4634-a2e8-ff22fcc37500</t>
  </si>
  <si>
    <t>00a89d2b-e1f4-4a00-a5ca-92bd745dc319</t>
  </si>
  <si>
    <t>835d9009-d564-42c2-b9bc-b33d48a86329</t>
  </si>
  <si>
    <t>ca727811-fd6c-4701-8faf-dcff2c686867</t>
  </si>
  <si>
    <t>67cde34e-6298-43ff-a747-c84636dd01f7</t>
  </si>
  <si>
    <t>1618a9fe-79fe-4066-b9f8-f4c96db77b10</t>
  </si>
  <si>
    <t>acca9ad1-9dd6-4565-ab32-ca34bc39653c</t>
  </si>
  <si>
    <t>e5a10523-0b9c-4bf0-9dfe-c8d04589a717</t>
  </si>
  <si>
    <t>57ef3906-2c22-42f8-a1c9-c177aa1fbae1</t>
  </si>
  <si>
    <t>3b49b6bb-c39f-4d89-9b04-ddeaa075547d</t>
  </si>
  <si>
    <t>73d221b4-4f12-4f81-9119-3cd737105c79</t>
  </si>
  <si>
    <t>e8f90d40-5027-4549-b5f2-e0131a9f108b</t>
  </si>
  <si>
    <t>9dd10b5c-444a-4860-9426-35bc708cd1b7</t>
  </si>
  <si>
    <t>c301bbf7-23b6-4edd-a5d5-446e415d3230</t>
  </si>
  <si>
    <t>bdfd92a6-e9b2-4a4a-81fc-6a7e5640cd1c</t>
  </si>
  <si>
    <t>0b04ceb9-9fe0-4a14-bae2-a4d5bb03da5b</t>
  </si>
  <si>
    <t>7fa5a7af-febf-4aad-b146-8a76a3627ace</t>
  </si>
  <si>
    <t>21d1b44f-20dc-48c0-a368-829610e6eabe</t>
  </si>
  <si>
    <t>b16b655a-f8ad-43a3-8353-1bf5c3674b96</t>
  </si>
  <si>
    <t>93e4a54f-9a4a-4ab9-8f8e-eff9649d8a0d</t>
  </si>
  <si>
    <t>b2263ba3-9e88-4219-9e37-cfa5be61e519</t>
  </si>
  <si>
    <t>a68b755f-acdd-4c7d-a9f4-862da0fc99c7</t>
  </si>
  <si>
    <t>d5825715-56fc-4775-abd5-fd0634c4a9f5</t>
  </si>
  <si>
    <t>74e011b5-d892-419e-bcad-74fde17532e5</t>
  </si>
  <si>
    <t>7c53fa9f-047a-4a05-8794-b23adee42457</t>
  </si>
  <si>
    <t>bde91174-a71f-45ac-ab86-2978ed0ebd14</t>
  </si>
  <si>
    <t>7eee5b83-d06e-4083-9927-a755f93f4205</t>
  </si>
  <si>
    <t>bfe95dfe-7822-47dd-a3de-42bbd777a742</t>
  </si>
  <si>
    <t>b28ac279-d8b0-4e6c-a5af-82633cf93b15</t>
  </si>
  <si>
    <t>9bf7a6cf-71bc-4feb-b6ea-95ed4e330450</t>
  </si>
  <si>
    <t>d7982e0b-6903-4c3f-9e15-8bb01820ef39</t>
  </si>
  <si>
    <t>3a540dc4-2c80-4fc6-a31e-b33011cf71ac</t>
  </si>
  <si>
    <t>dbceacff-da9d-4d1d-b2c6-c7bccd38228c</t>
  </si>
  <si>
    <t>8d931c4a-0d36-450f-9081-b4586e4912a5</t>
  </si>
  <si>
    <t>87492bd0-6cf0-49fe-948f-988f10013ce7</t>
  </si>
  <si>
    <t>277b6063-a765-4799-b955-9e3d47a6dda5</t>
  </si>
  <si>
    <t>19df697e-68f7-49c9-87a9-35f1cd8ed7a4</t>
  </si>
  <si>
    <t>38916566-acf9-497e-b61a-4cb2e36eae6b</t>
  </si>
  <si>
    <t>ccddab31-f2c9-47fe-b266-ca585fa22c0a</t>
  </si>
  <si>
    <t>159a4ae7-680b-477b-bf6c-0115418750e6</t>
  </si>
  <si>
    <t>15febd74-3d19-4890-8785-e15d248ccbf2</t>
  </si>
  <si>
    <t>bfea9979-2854-47a4-b2d4-b645bb5b01ac</t>
  </si>
  <si>
    <t>2e101fa7-8689-43e1-a530-57199f67df3d</t>
  </si>
  <si>
    <t>2fa2875c-434d-402f-a24f-e185fe71a43d</t>
  </si>
  <si>
    <t>09a024d4-31ce-4830-99ce-734e5998e86e</t>
  </si>
  <si>
    <t>5fb15754-f922-4821-90eb-7108e5789099</t>
  </si>
  <si>
    <t>768fea3b-c571-465e-a6d2-52ff958d14f3</t>
  </si>
  <si>
    <t>f9466ba8-c366-46aa-b01d-eef088958dac</t>
  </si>
  <si>
    <t>b142bb57-2d95-4971-b3c9-49500b813fac</t>
  </si>
  <si>
    <t>c4d8ce94-8d0c-426d-895f-f8b1305a152b</t>
  </si>
  <si>
    <t>e322929e-a511-4a4d-9b19-38ec7a30e60b</t>
  </si>
  <si>
    <t>9d06ae49-c3da-41b8-8d4c-f23d75d76c43</t>
  </si>
  <si>
    <t>dde020fd-c60f-4ce4-9e64-88724ece3510</t>
  </si>
  <si>
    <t>4d8d2c6b-c0e1-4de7-9498-d212a105c050</t>
  </si>
  <si>
    <t>977c2dfa-28cd-43db-a5b1-ea33272c8d9a</t>
  </si>
  <si>
    <t>15f0a2ae-6488-466f-820d-bcda5161a86b</t>
  </si>
  <si>
    <t>852c3855-7bbc-4445-81ff-054159742dff</t>
  </si>
  <si>
    <t>623b1009-b432-4d05-9acd-c4d8545cdf35</t>
  </si>
  <si>
    <t>f5c6d2b3-9d1b-45d1-a754-af15ec9c4f58</t>
  </si>
  <si>
    <t>f2b625e3-fbee-442b-838a-9c2b3ba35423</t>
  </si>
  <si>
    <t>791cbc90-be2a-4cff-9f0e-233bc6dffbec</t>
  </si>
  <si>
    <t>2708e8cb-c15f-4cb9-a98a-3a44c409a0a1</t>
  </si>
  <si>
    <t>d0abb84a-7db0-48fd-a6f9-72fb98153b1e</t>
  </si>
  <si>
    <t>7c2891d4-962c-42ca-8d76-a5e01f9b73f5</t>
  </si>
  <si>
    <t>3cfc4ead-213e-45ea-881f-77e97655bc77</t>
  </si>
  <si>
    <t>dbc4bf1e-5371-48fc-91eb-59e482aa388f</t>
  </si>
  <si>
    <t>2335ab97-a974-4b8b-90a9-ffddadc01566</t>
  </si>
  <si>
    <t>d5119dda-d93c-4870-9b44-3cb0a50584a4</t>
  </si>
  <si>
    <t>576e97f5-a76a-47e5-abc3-3f39d9ea8334</t>
  </si>
  <si>
    <t>283ae238-1ccf-4474-9a5d-a787ac8633ef</t>
  </si>
  <si>
    <t>6fff00ba-282e-4f05-9897-0a0e0c7da26d</t>
  </si>
  <si>
    <t>ca0f0f0e-f197-4a1e-ae3f-2fffd627b092</t>
  </si>
  <si>
    <t>4d1f9c8b-58c0-4823-ad89-2ff45fc90fa2</t>
  </si>
  <si>
    <t>98ba215a-d477-4329-bf59-1601d0a6e192</t>
  </si>
  <si>
    <t>8e1a72da-dd71-4073-9164-c04424e14b52</t>
  </si>
  <si>
    <t>d6b606f8-c7bd-4a30-9531-4dc1c5dcb543</t>
  </si>
  <si>
    <t>a9f05788-ef07-422a-ab5b-2c3fc1cfe7c7</t>
  </si>
  <si>
    <t>2e98f277-5858-437a-b871-60c0f7434ad4</t>
  </si>
  <si>
    <t>97159bdb-ee13-41ed-886f-6eb4e406f209</t>
  </si>
  <si>
    <t>ecbfc278-995a-4815-9468-014d89530710</t>
  </si>
  <si>
    <t>b9c8e087-d36a-43e1-b4d5-f1b15764d0b6</t>
  </si>
  <si>
    <t>e05a9b7d-40ed-4f7d-b5ba-108e5928024c</t>
  </si>
  <si>
    <t>aef4aba0-e3da-4b62-a2e7-7b33798dd9c8</t>
  </si>
  <si>
    <t>eea10231-57ae-401d-b3d3-ee3654ad8ecb</t>
  </si>
  <si>
    <t>eaa17ede-1f9a-49c9-8374-981fce94614b</t>
  </si>
  <si>
    <t>13e29a6f-ee22-4796-af06-98570b7bcab8</t>
  </si>
  <si>
    <t>e197fcf8-8cbc-4ba3-9a37-39537070ce00</t>
  </si>
  <si>
    <t>41492e40-0769-4ed9-81cb-27c775fe9424</t>
  </si>
  <si>
    <t>b3893bc7-ba14-4beb-881b-7b308377d3b8</t>
  </si>
  <si>
    <t>14593a40-d5a4-4471-969c-8c1e9650f418</t>
  </si>
  <si>
    <t>c9717227-9d5e-49db-997f-93538bc24466</t>
  </si>
  <si>
    <t>68bae67b-0b53-42da-a8fc-cf42fba49a1e</t>
  </si>
  <si>
    <t>f4c179b0-636b-4f02-87a6-7e26c31f4739</t>
  </si>
  <si>
    <t>7a216df0-d394-4275-a77c-4cee9346ba7c</t>
  </si>
  <si>
    <t>a6c301ce-0434-4272-b0e9-778d4e22aab6</t>
  </si>
  <si>
    <t>3ad0849a-eefd-44b7-9095-e1e82c1acaa0</t>
  </si>
  <si>
    <t>6b2c5bd1-8aef-4a00-a223-09fdc045f6a0</t>
  </si>
  <si>
    <t>3522e267-7cb4-4a27-8d77-1ecdc656ab28</t>
  </si>
  <si>
    <t>9f090365-6ca0-4d20-99bf-7cf4c872fe26</t>
  </si>
  <si>
    <t>e516927d-39c1-4b66-9e3b-05e15f955a27</t>
  </si>
  <si>
    <t>9857dc2b-b190-4919-b457-87d67a454889</t>
  </si>
  <si>
    <t>03aca477-4254-4fad-abb7-4d12b350b84b</t>
  </si>
  <si>
    <t>19d1f99b-5da5-4314-9206-9033e2ff5ee7</t>
  </si>
  <si>
    <t>e812f8fe-2621-4aca-bff0-6e55c4181042</t>
  </si>
  <si>
    <t>2cb92788-a71c-416d-8775-01bbc8fb72aa</t>
  </si>
  <si>
    <t>149f8f79-ccb3-4290-a752-5bc080a6de23</t>
  </si>
  <si>
    <t>78524cf2-b67c-4a72-bb61-3fd01eff5263</t>
  </si>
  <si>
    <t>3010b71e-4da7-47b7-9030-dc69013c937e</t>
  </si>
  <si>
    <t>af909bf7-a9d9-44e9-abfc-6663d232fe1c</t>
  </si>
  <si>
    <t>b0f3b343-40fa-4b49-8ac0-4af0939b18f4</t>
  </si>
  <si>
    <t>d3557949-daa7-4b95-80ef-55182a0c4719</t>
  </si>
  <si>
    <t>5fc3e8e7-54b1-4626-b242-cbb442ebaceb</t>
  </si>
  <si>
    <t>0cce0637-c7ff-40a1-8239-4ef28c184ba0</t>
  </si>
  <si>
    <t>a731d7c5-e983-4d62-a2a8-7e3ba1c7486e</t>
  </si>
  <si>
    <t>7739e69b-f8a2-4487-b333-c32e958579ea</t>
  </si>
  <si>
    <t>47cee3ed-9cd6-41d8-9056-b3d1639240b8</t>
  </si>
  <si>
    <t>08e2745c-f106-4c85-b87c-252130c4e2e6</t>
  </si>
  <si>
    <t>9dc95a1f-ebb3-4af0-84a3-964a45296b48</t>
  </si>
  <si>
    <t>8f043439-9404-4f75-ad55-3e87cd8fd720</t>
  </si>
  <si>
    <t>ecf3c7d9-62aa-4e2a-9234-46d16e5bc40a</t>
  </si>
  <si>
    <t>243f498a-069a-4854-a8de-5e01f74f509b</t>
  </si>
  <si>
    <t>0aeade49-1276-40bc-a8eb-65950bc798ef</t>
  </si>
  <si>
    <t>d9bf6a4d-109a-4842-b898-6c2b08144505</t>
  </si>
  <si>
    <t>2f0ceb41-4f1d-483e-be15-5f8a1452f121</t>
  </si>
  <si>
    <t>24ebf324-565d-40ae-be78-53370b443616</t>
  </si>
  <si>
    <t>bf50c698-4205-4378-846d-d84e3c7ac3c2</t>
  </si>
  <si>
    <t>42810033-0cd6-4186-b015-a0b1558a207e</t>
  </si>
  <si>
    <t>eff91559-6537-4450-8129-2faf10f7111c</t>
  </si>
  <si>
    <t>2469e16d-49cf-4ce5-9bbd-13c8a7413f1a</t>
  </si>
  <si>
    <t>9b6f8426-1310-4cb2-b3a0-0f65fe66c1da</t>
  </si>
  <si>
    <t>2f2232b3-3e65-4d36-b292-6da9e7ccccb8</t>
  </si>
  <si>
    <t>dfb232a5-2742-4e56-b0fc-f64a30b908df</t>
  </si>
  <si>
    <t>3639a220-84a4-4694-b7dc-e29a9a607f54</t>
  </si>
  <si>
    <t>969b7460-aaeb-452d-8ac0-55f9920c3a49</t>
  </si>
  <si>
    <t>5807b2ec-7a9b-4ff9-8d74-719def6be95b</t>
  </si>
  <si>
    <t>535de8cb-46c0-41fd-9309-32adece9f05c</t>
  </si>
  <si>
    <t>a7ac7ee7-dd07-4c5b-a356-ec84f0a55c27</t>
  </si>
  <si>
    <t>0fc50523-3e8a-4ce6-8c52-4949c3248f55</t>
  </si>
  <si>
    <t>6a928f3a-1567-49ff-90b2-cab94078e21c</t>
  </si>
  <si>
    <t>da005e4b-0ca0-4790-8c8e-2bac4263ab4d</t>
  </si>
  <si>
    <t>a7300fed-38b1-4612-8b90-e338aa1d9c69</t>
  </si>
  <si>
    <t>ddb8f65d-45ee-4ba1-9268-c64ed5d87970</t>
  </si>
  <si>
    <t>9c20f86d-b77c-46c7-b602-a71121711cd4</t>
  </si>
  <si>
    <t>3b791bd1-18d4-436b-8bba-94e1949e3c09</t>
  </si>
  <si>
    <t>7be25bf5-12ec-42c7-95c8-591617c0f5cf</t>
  </si>
  <si>
    <t>da940b91-eba9-4d87-af35-be7f8721e06a</t>
  </si>
  <si>
    <t>66e1c96b-e13d-4f7c-8220-809e5c6abf0c</t>
  </si>
  <si>
    <t>15396133-99a7-4bc7-ba02-429844f4a629</t>
  </si>
  <si>
    <t>ee3842c8-2e7b-412b-b866-d2e18081ca19</t>
  </si>
  <si>
    <t>7dda981a-5495-4668-8ae5-efcc2fa0e8b1</t>
  </si>
  <si>
    <t>22581cec-7720-44e6-a4c3-830c66d14cf6</t>
  </si>
  <si>
    <t>aea175e6-461e-4e8d-8503-d6905568d0dd</t>
  </si>
  <si>
    <t>c3044df3-3a51-4397-b584-67b765d47a6c</t>
  </si>
  <si>
    <t>f8a5392c-7209-43e5-8e9a-e77c674447d3</t>
  </si>
  <si>
    <t>c9daf3af-4b52-4209-a817-6f9bf71a33fb</t>
  </si>
  <si>
    <t>762c08ee-8151-4388-ab6e-db0918595c2f</t>
  </si>
  <si>
    <t>eb1f9589-f6dd-460b-9e1e-a1c8f514c1d7</t>
  </si>
  <si>
    <t>fba54d8a-9275-474f-9c8b-44e82deef58e</t>
  </si>
  <si>
    <t>585027a6-d2bf-4faf-8197-7c9ab662db22</t>
  </si>
  <si>
    <t>04c8ead7-5bf3-4980-bf15-e8a5b5812f88</t>
  </si>
  <si>
    <t>2b2e6826-8d17-4524-a6f6-10f1fc74fda6</t>
  </si>
  <si>
    <t>403a0bc8-ea04-4fda-ab59-d4dfce21354b</t>
  </si>
  <si>
    <t>ed3e3a12-65f6-4797-824d-ad6dfc85c64f</t>
  </si>
  <si>
    <t>3752fb59-70d2-4444-a671-ea7e118d034a</t>
  </si>
  <si>
    <t>a0369a76-4f28-47e9-bf7c-bbe257f2e9f3</t>
  </si>
  <si>
    <t>3e50db25-47de-4f53-adc5-5d4cd6ecf1d3</t>
  </si>
  <si>
    <t>ccc464a3-0954-455f-a50f-f84b84517d2f</t>
  </si>
  <si>
    <t>455cb937-7433-447e-b16a-f1e0087641ea</t>
  </si>
  <si>
    <t>571e3b15-82d3-4772-8354-8a56c7c874c1</t>
  </si>
  <si>
    <t>6bbac616-1aff-4b60-b06e-c7d9efe6b3b2</t>
  </si>
  <si>
    <t>16a5f201-2194-402f-896f-58d12bf2bae3</t>
  </si>
  <si>
    <t>51bd844e-803a-4b41-ad1b-9044dc949805</t>
  </si>
  <si>
    <t>08ffe28c-5926-4d4d-8c75-c775c02ff5f2</t>
  </si>
  <si>
    <t>66fbaa24-2f99-48fc-b03c-b87082b96379</t>
  </si>
  <si>
    <t>028b4601-c928-4b58-8b24-de88a308406d</t>
  </si>
  <si>
    <t>1e87e159-c5e0-414b-bd19-1e18d9800ee2</t>
  </si>
  <si>
    <t>e8fd6503-e613-4e40-a727-f52d6d9eaad6</t>
  </si>
  <si>
    <t>6c68a5d4-9278-4e74-87a7-e214d3681e91</t>
  </si>
  <si>
    <t>b3615127-8d63-4996-8de6-f52759ecdf45</t>
  </si>
  <si>
    <t>afb184f1-aacb-406b-bcb1-0e1df5debdb4</t>
  </si>
  <si>
    <t>00a594c2-0d4e-4d06-8c16-4ccabbfcc661</t>
  </si>
  <si>
    <t>c9db3433-6484-481f-b61d-bd372eb5ec1e</t>
  </si>
  <si>
    <t>53e24dc8-efc1-4cf5-8f98-0cfcaa53bc63</t>
  </si>
  <si>
    <t>bfb483a5-b4bb-4a0d-a6aa-e081dbabbd10</t>
  </si>
  <si>
    <t>4098fec9-0120-402a-ba85-ed130eefd908</t>
  </si>
  <si>
    <t>39ee2d8b-5040-4aef-a2c5-4b47988540d3</t>
  </si>
  <si>
    <t>8d202c19-1b18-4713-bf06-43090e5242ce</t>
  </si>
  <si>
    <t>daeb4aad-ec07-426a-a965-101e20f17dfa</t>
  </si>
  <si>
    <t>7848d759-dcc4-47e6-b289-6e5a20828e07</t>
  </si>
  <si>
    <t>a385b123-e82f-47ca-af94-3d5c448ece2c</t>
  </si>
  <si>
    <t>ebc06bbd-33b3-43e0-bbe7-ab6ece8f2908</t>
  </si>
  <si>
    <t>d589c572-b35f-4b41-8ac9-2acb72f1cb08</t>
  </si>
  <si>
    <t>cbd29564-b362-4aa9-a873-16476b2920e4</t>
  </si>
  <si>
    <t>9ff46f4c-216f-4e6d-b97f-66b71cfefd72</t>
  </si>
  <si>
    <t>801d9e56-764a-4d3f-8824-596607d8a97f</t>
  </si>
  <si>
    <t>e46a5e4f-7fd2-4490-9adb-b925a004d6a9</t>
  </si>
  <si>
    <t>a4dd2d0b-3ec0-4dbf-9a61-34c59efd2937</t>
  </si>
  <si>
    <t>94ebb818-a86c-4b38-8425-444f9e2715e8</t>
  </si>
  <si>
    <t>a6460efc-db5a-40a8-a9d1-0c63b2a77fed</t>
  </si>
  <si>
    <t>cd9f6c04-852f-4888-88f2-454c50486bd1</t>
  </si>
  <si>
    <t>303d0668-5632-464c-a323-9d5c44bbdf16</t>
  </si>
  <si>
    <t>ffa665bf-dff5-499e-9bd2-f0e30975771a</t>
  </si>
  <si>
    <t>339bfba4-d220-4c8e-a2d4-174a81cf8010</t>
  </si>
  <si>
    <t>9f50aff8-2f0b-4470-bd1e-c0082575c290</t>
  </si>
  <si>
    <t>afe2e98f-f00b-42bc-80dc-21ee4a8384cd</t>
  </si>
  <si>
    <t>1882f6a9-0344-4264-b0f2-6cd023132e68</t>
  </si>
  <si>
    <t>8cd12eef-fe7f-4f98-821a-13ea946f3114</t>
  </si>
  <si>
    <t>5ecb179e-c41c-46e2-8de0-31c4da08e8dc</t>
  </si>
  <si>
    <t>5df905ee-868e-4ac2-8704-7deb73aa4251</t>
  </si>
  <si>
    <t>02cce923-4f11-4e20-af45-d25c4468f3b1</t>
  </si>
  <si>
    <t>2ce16255-bc7c-4ff9-8d21-4d4bb0ed8a13</t>
  </si>
  <si>
    <t>e7d862ef-b303-41d6-8bdb-e3f0a6b1fc1c</t>
  </si>
  <si>
    <t>8ff87c56-908f-4f7a-9b49-992988fd88f0</t>
  </si>
  <si>
    <t>de858934-d4d9-48e9-99ec-d69b28d85e83</t>
  </si>
  <si>
    <t>1dcb8cef-9003-4393-af05-e6a4fb56fbf3</t>
  </si>
  <si>
    <t>441369aa-ab43-4bb4-b3b6-66cccff1050c</t>
  </si>
  <si>
    <t>44008147-525c-4e5c-af18-b96eea076f95</t>
  </si>
  <si>
    <t>c6eeec78-0ce3-4495-bbd0-2aee082a6ecc</t>
  </si>
  <si>
    <t>79454911-9809-4bb4-ad44-648bc235aac2</t>
  </si>
  <si>
    <t>7ff53d7d-b2f9-4c4f-89b6-c468195a84cb</t>
  </si>
  <si>
    <t>c76d4c2d-060a-470d-9123-9e5f692c3310</t>
  </si>
  <si>
    <t>0f2a4e48-453d-4e11-b3a6-13e8a01c26cd</t>
  </si>
  <si>
    <t>c62b2086-7d9f-43ba-9d7b-cf83e442107d</t>
  </si>
  <si>
    <t>5e0345bb-337d-4751-b4b4-6c9e6762b8ba</t>
  </si>
  <si>
    <t>e58ca4d8-d149-43c2-af69-e391de6becbf</t>
  </si>
  <si>
    <t>7685f7bf-b302-4ba8-8feb-a96b427b97f5</t>
  </si>
  <si>
    <t>b4f85d5c-9a6b-481c-9fd8-5e0449ff1b43</t>
  </si>
  <si>
    <t>bb89e019-2943-4b80-a981-d4dba74d1f05</t>
  </si>
  <si>
    <t>647a0ae6-acc0-42af-a826-a1a6d6950dd8</t>
  </si>
  <si>
    <t>70f03974-e3fe-48ce-bb9c-e055296634b5</t>
  </si>
  <si>
    <t>8798f37a-7401-4792-9680-9847d5124e04</t>
  </si>
  <si>
    <t>b4555b19-5364-4234-af06-ff0af3d9870a</t>
  </si>
  <si>
    <t>5db231b4-1594-4794-9043-a96d2baf1975</t>
  </si>
  <si>
    <t>d6eca2eb-5695-4af0-b23e-f888109ced8e</t>
  </si>
  <si>
    <t>bd5c54ba-2753-496a-bdd0-678aded1ed9a</t>
  </si>
  <si>
    <t>3ba6c185-5183-42ba-a526-8b072c8e97fe</t>
  </si>
  <si>
    <t>c726049b-54c5-4527-b1ce-9a72a417c9a6</t>
  </si>
  <si>
    <t>bc9dfed6-f9dd-4e54-b345-284c7570d674</t>
  </si>
  <si>
    <t>a4cf75f7-73d1-473a-9c07-9f25987c2305</t>
  </si>
  <si>
    <t>c5a4e8b9-0ae2-499f-8a12-7d6f1451ea86</t>
  </si>
  <si>
    <t>4ab7f791-358e-4763-aabf-6b9f437dbce3</t>
  </si>
  <si>
    <t>726c928e-7ef9-4321-9d30-ce5c39b9e14d</t>
  </si>
  <si>
    <t>121e980d-8983-4c29-965a-01871a64c95a</t>
  </si>
  <si>
    <t>2359698f-3a98-4017-87de-5502f74f31a7</t>
  </si>
  <si>
    <t>e0ef4398-c6ac-4743-9718-81b14b5faeac</t>
  </si>
  <si>
    <t>83883b07-4cd7-405e-8da7-4333cd418d00</t>
  </si>
  <si>
    <t>e4239ba5-6079-4bff-b2ba-64cccf2ae242</t>
  </si>
  <si>
    <t>d778a957-813d-4b4b-aed0-8971eeaa4f9e</t>
  </si>
  <si>
    <t>6cca8d0f-bfda-4ee0-8490-8ca7c26074bb</t>
  </si>
  <si>
    <t>f04ab085-9d05-44c9-acd7-fb06904ea883</t>
  </si>
  <si>
    <t>b29ff5ef-b65b-4d33-970f-3e34e4344c13</t>
  </si>
  <si>
    <t>f48c76b6-9b9c-497e-8187-4da02e20b10f</t>
  </si>
  <si>
    <t>0e1d0ad4-2fe4-45cc-beb5-31cce23e4a50</t>
  </si>
  <si>
    <t>a7ae6797-4da0-402d-a3bd-8b363d1a9709</t>
  </si>
  <si>
    <t>c8fa7830-499d-4b86-b447-056dfc6ec40a</t>
  </si>
  <si>
    <t>eb522ea9-5a34-48b2-8890-0c8c4ea08ad8</t>
  </si>
  <si>
    <t>39341d1a-cb13-4e9a-acb1-e85ac7bffcbb</t>
  </si>
  <si>
    <t>22d1b42b-3b6a-4a2f-bc9b-883388001bf4</t>
  </si>
  <si>
    <t>6255bd3a-e962-4297-9779-77cf7d642a84</t>
  </si>
  <si>
    <t>978bf1eb-20be-4422-a2fb-4f6d033fac84</t>
  </si>
  <si>
    <t>0c962c3c-4e7c-4463-b908-b06c0a5d8c19</t>
  </si>
  <si>
    <t>8f37cc09-ae7d-443f-8a77-308b0f2ddd8d</t>
  </si>
  <si>
    <t>0babd726-0932-43d4-b738-0d2837a5b39e</t>
  </si>
  <si>
    <t>cf21f533-8346-4169-acc3-ff135bec4c4f</t>
  </si>
  <si>
    <t>5a5f1e8b-32aa-4158-b718-205b8a92847e</t>
  </si>
  <si>
    <t>65cd78ff-a970-4d01-af8a-59135c150718</t>
  </si>
  <si>
    <t>41d30d40-9224-4082-ada8-d0254668b93b</t>
  </si>
  <si>
    <t>5fb10b56-c2d0-447e-900f-cb0dea129e96</t>
  </si>
  <si>
    <t>9fd1f598-1c96-4164-8abc-9486ca71825a</t>
  </si>
  <si>
    <t>4fa178f3-5d78-4f09-b654-b58038c213c1</t>
  </si>
  <si>
    <t>bb5c1183-e0c1-4dc9-bcc1-d0cb1e3d55da</t>
  </si>
  <si>
    <t>0d9b598a-ec57-4e06-8e7e-fc7e2568533e</t>
  </si>
  <si>
    <t>ebf0bd51-84b1-449e-9df5-8cad07eb7de2</t>
  </si>
  <si>
    <t>2e03e952-905c-4b07-befa-37e75e142c4f</t>
  </si>
  <si>
    <t>8b2dfdbf-12c3-4889-9fc9-cdc99e219bb0</t>
  </si>
  <si>
    <t>32292da1-abc1-4f41-a8e2-40c80357789c</t>
  </si>
  <si>
    <t>8f0698e7-e31e-4208-9ec9-d17a67e7150a</t>
  </si>
  <si>
    <t>18ca93c2-7eb4-4683-8641-d7d2cc4b58ca</t>
  </si>
  <si>
    <t>7775e69c-be0a-4f3c-af4d-7966be7df0cd</t>
  </si>
  <si>
    <t>6047d73a-2932-4409-ae3d-cba28be11555</t>
  </si>
  <si>
    <t>463a5240-b3a5-40cb-82d7-65f19c2a8dfc</t>
  </si>
  <si>
    <t>be522e87-539e-4efb-b22c-b5c5e11cde6b</t>
  </si>
  <si>
    <t>e294987c-356e-47ee-9b6f-597987129a1a</t>
  </si>
  <si>
    <t>d6ab7ef8-108e-4802-bfee-6114b4c1c0c0</t>
  </si>
  <si>
    <t>0c5a9029-c335-433b-ab17-30fef11ea92e</t>
  </si>
  <si>
    <t>b7416359-115c-4aa5-9893-3b8017d9d1f3</t>
  </si>
  <si>
    <t>fae8dab6-1057-499e-b86b-7728bc42de85</t>
  </si>
  <si>
    <t>f49c2c7a-f71d-4576-94de-04b49389c62c</t>
  </si>
  <si>
    <t>b3d0f3d1-9dc6-418a-a0b2-272a39452a51</t>
  </si>
  <si>
    <t>78785ea9-497b-49a6-8d4e-bd1cb43d0219</t>
  </si>
  <si>
    <t>6732a10e-727d-44cd-9f9f-49dab1311705</t>
  </si>
  <si>
    <t>9cf2738e-496d-47fc-99e7-c37228e0e024</t>
  </si>
  <si>
    <t>5ff5fcc7-1bb9-403e-9cd0-fc8f91b7bcd5</t>
  </si>
  <si>
    <t>9da4a848-a9af-46b2-84b5-8f3d0ed0071e</t>
  </si>
  <si>
    <t>38670250-5d2f-4f39-95d5-25d1e6851677</t>
  </si>
  <si>
    <t>be0aff9b-9c03-4975-b752-169b2012f95d</t>
  </si>
  <si>
    <t>61004785-0f1b-4cb7-9bfb-09e486109b17</t>
  </si>
  <si>
    <t>40807b61-f768-4de2-80a9-32801e338c23</t>
  </si>
  <si>
    <t>8713ac25-92b7-453a-a6f0-2c466402123c</t>
  </si>
  <si>
    <t>e3d33625-afab-4d2a-943b-2e7c1db845c7</t>
  </si>
  <si>
    <t>fc6ad4bb-ca61-4c6d-aa19-28552c7229b7</t>
  </si>
  <si>
    <t>276dd101-aca7-43ae-975f-c6dfacc9ff36</t>
  </si>
  <si>
    <t>caf5e924-f778-437d-9c90-d313c628284a</t>
  </si>
  <si>
    <t>c19af9ab-a45a-4052-9d45-7be35b331c71</t>
  </si>
  <si>
    <t>854c0a65-301b-4a93-ac69-7d2a9428dde8</t>
  </si>
  <si>
    <t>f2b94f92-6a6e-494e-a6f4-37d430753286</t>
  </si>
  <si>
    <t>7d9a949c-c427-4884-8008-0a6263820628</t>
  </si>
  <si>
    <t>1ddf0b60-d303-4110-9b6d-74b69e231886</t>
  </si>
  <si>
    <t>3ed3bac6-711d-4fe3-b6ae-679c6816c5d4</t>
  </si>
  <si>
    <t>b56e3e15-b8b6-42ab-8aca-39eac7006938</t>
  </si>
  <si>
    <t>0d58f90a-6eb8-4594-a47b-7b4da46dfd05</t>
  </si>
  <si>
    <t>2f1d9a83-0ed0-4474-975d-6853cd360eb2</t>
  </si>
  <si>
    <t>a6306abc-977b-4f4f-9b04-278865a118b3</t>
  </si>
  <si>
    <t>b84c17aa-6cf9-4a9d-a1e8-cdc7b6dc46e0</t>
  </si>
  <si>
    <t>c4ab0769-37c6-4a79-ae53-c210890c40b7</t>
  </si>
  <si>
    <t>b9b4bd97-4a2c-4cdb-b405-03cfd42dacdf</t>
  </si>
  <si>
    <t>f956d4e8-196a-4106-9f62-ee32f83d71b2</t>
  </si>
  <si>
    <t>bb7d3b40-28ed-4d62-b4dd-c48078b591f9</t>
  </si>
  <si>
    <t>4e81d61c-e1d8-4f79-95db-2389ee5e937b</t>
  </si>
  <si>
    <t>4a206ae6-ec00-456c-acd5-e0cb69de6c8c</t>
  </si>
  <si>
    <t>4f1728e0-a481-4fc5-95d8-3d89694241b7</t>
  </si>
  <si>
    <t>0fa66354-2fca-4ae3-aa97-673e35001aa9</t>
  </si>
  <si>
    <t>aca48ecb-9392-48d4-beac-4ba808311b67</t>
  </si>
  <si>
    <t>53466992-bd6a-45bc-9a9a-2be269c819c1</t>
  </si>
  <si>
    <t>0f493112-bc03-4879-abb7-6a3232975fbc</t>
  </si>
  <si>
    <t>b88d841b-e32f-4b89-ad74-e1532ae0e4ba</t>
  </si>
  <si>
    <t>d4a509cd-7600-4884-bea7-cd63852266ba</t>
  </si>
  <si>
    <t>1f5947a5-78a6-4fc9-8b8d-55830ab97371</t>
  </si>
  <si>
    <t>92e06882-dee5-44ce-9a84-fb33645fbea1</t>
  </si>
  <si>
    <t>5c04fad2-301a-433c-8cf7-82ab1621338f</t>
  </si>
  <si>
    <t>081f7d48-bf27-4b0e-8900-2e4fcbb4b8dc</t>
  </si>
  <si>
    <t>6d38bd2f-ee41-4b08-a1ab-2c5b9b7e9501</t>
  </si>
  <si>
    <t>325746ac-8496-4570-b411-7eafad7265db</t>
  </si>
  <si>
    <t>2b07781e-9a98-4251-a848-ac8f076aa5f7</t>
  </si>
  <si>
    <t>a74170ca-47b6-4528-a524-66238d02db27</t>
  </si>
  <si>
    <t>66871b61-7579-47da-b80f-53492997e50f</t>
  </si>
  <si>
    <t>4db9b3a7-7f4d-4993-b7cb-7d2b2efcdf4d</t>
  </si>
  <si>
    <t>139a9a4b-1cb4-4b91-b718-d0bdd7db31c9</t>
  </si>
  <si>
    <t>c8db89df-a6f0-4f52-b3e2-e524c9576f90</t>
  </si>
  <si>
    <t>437e0dae-dbf7-41a8-8a03-010b9597bbd2</t>
  </si>
  <si>
    <t>a3a3084d-93f4-427b-8d86-cc8e36321cb3</t>
  </si>
  <si>
    <t>2deb0ff0-5909-4169-8a23-4ed3979467fc</t>
  </si>
  <si>
    <t>3569db32-cb0a-40c5-ad2b-c163011b78b3</t>
  </si>
  <si>
    <t>093585a3-96ce-4513-8d60-1dd36c4b30d2</t>
  </si>
  <si>
    <t>4c5b5072-7bdc-406d-ae19-b84936df59df</t>
  </si>
  <si>
    <t>d0637fde-e4c8-4c60-9817-a3494a623a6f</t>
  </si>
  <si>
    <t>7bcfa77e-c95c-410e-bd84-b471879f234c</t>
  </si>
  <si>
    <t>98adddae-3bee-4035-9b2d-f6bea62bd0f0</t>
  </si>
  <si>
    <t>ba34ab5f-24ae-404b-be9d-03e30bcf2189</t>
  </si>
  <si>
    <t>14426fbb-ec2b-440e-b570-57efc8becdfb</t>
  </si>
  <si>
    <t>c32e40f9-3523-4599-8d9a-6fd6a9f23214</t>
  </si>
  <si>
    <t>bf320b63-6f7d-48e7-bf7e-a5005d1fd074</t>
  </si>
  <si>
    <t>62daa4b1-c95d-471f-b1a7-8c85e15fb864</t>
  </si>
  <si>
    <t>e78b5351-ac0e-4c1b-aafe-fb0085f1d2a6</t>
  </si>
  <si>
    <t>5005718f-e370-4a78-9e3d-d927ed207012</t>
  </si>
  <si>
    <t>26b800f9-302a-4945-9b42-ff31a4e85121</t>
  </si>
  <si>
    <t>8432b4f6-f16c-4bc6-92ac-28037e386c41</t>
  </si>
  <si>
    <t>ca9ece3a-3732-4580-ab3e-6a4315e852df</t>
  </si>
  <si>
    <t>9676eefa-cbbb-43c8-a8c3-3290542c2950</t>
  </si>
  <si>
    <t>788fde80-7b00-46d0-ba98-6a341ef49b5c</t>
  </si>
  <si>
    <t>4ab4fe44-4a7b-4a70-a786-760ab936a47e</t>
  </si>
  <si>
    <t>3befa239-f0c1-42a1-bbc2-dce3242bb275</t>
  </si>
  <si>
    <t>f42486cf-242b-4ad5-b6fd-f824f9c1f12f</t>
  </si>
  <si>
    <t>248c63ec-a5f4-4427-b99e-4981509f186a</t>
  </si>
  <si>
    <t>0203d17e-40d9-46b5-b5af-e2bdb377281f</t>
  </si>
  <si>
    <t>704ba3cd-85d7-402d-89b3-deda95f66626</t>
  </si>
  <si>
    <t>46314a85-af27-4a81-b817-998d299f6520</t>
  </si>
  <si>
    <t>64f4eddc-0f0a-4ad7-8fef-7e58a98d63d6</t>
  </si>
  <si>
    <t>5f23082a-93b4-42a5-b729-51fed2ea0e90</t>
  </si>
  <si>
    <t>65bc4877-f333-487b-b32a-47f8819ee73a</t>
  </si>
  <si>
    <t>e97a0b27-cd8a-421d-8143-588572039c96</t>
  </si>
  <si>
    <t>13732886-4ad6-4644-a684-2175f54b092a</t>
  </si>
  <si>
    <t>a3094c01-cb9e-43e3-ba45-0fedfcd58611</t>
  </si>
  <si>
    <t>64bb8ce8-81b0-41e8-ad65-f5ea30ff4a7f</t>
  </si>
  <si>
    <t>abd73cf3-93fe-409f-9eb0-87d893e08b7d</t>
  </si>
  <si>
    <t>d92249ae-a974-4776-a4d4-603c76dea4f6</t>
  </si>
  <si>
    <t>853d9d1e-60b9-49ab-97b1-8eaf27491f0a</t>
  </si>
  <si>
    <t>82036a66-c988-49ae-a1ec-d7d3204ee236</t>
  </si>
  <si>
    <t>61eb6eb5-e9a9-475b-8165-28c04e8c434c</t>
  </si>
  <si>
    <t>e3aaa11f-951a-4505-9e89-8a20a6a5a361</t>
  </si>
  <si>
    <t>41bcf9d9-441a-41ec-aff9-d8638f7edf7d</t>
  </si>
  <si>
    <t>0bba6c1b-aac4-4ad9-bd6e-53f2969a8b69</t>
  </si>
  <si>
    <t>aed7e1c8-aa22-414f-bc78-b258c92d2ab7</t>
  </si>
  <si>
    <t>2bef7682-a992-4bb0-93d8-8615e2cf1e9e</t>
  </si>
  <si>
    <t>e05428f1-2640-4022-b170-9f2548e79f40</t>
  </si>
  <si>
    <t>914085c9-eb4b-4e84-af5e-4d97bebd3965</t>
  </si>
  <si>
    <t>0f4b3930-1768-4fd9-9950-c9b19762c946</t>
  </si>
  <si>
    <t>acf87cbc-1e5a-4ce7-be7a-5de80ac65aa7</t>
  </si>
  <si>
    <t>5ac1ea8e-5265-4d5e-b02d-c94e5f5b8b90</t>
  </si>
  <si>
    <t>c2f44d8e-3ce4-43f3-946b-4e545c6a3acd</t>
  </si>
  <si>
    <t>7fa6dbcc-b77c-493f-829d-f71c4b055b9e</t>
  </si>
  <si>
    <t>a73415e3-5c7a-4b85-9354-af53d420f4a1</t>
  </si>
  <si>
    <t>40b411ce-7486-4c5a-a863-a5fb33bb5c50</t>
  </si>
  <si>
    <t>f1506f88-a592-4f3a-a137-182ba552a789</t>
  </si>
  <si>
    <t>56a66bc9-077d-475f-aedd-735f074ca5d2</t>
  </si>
  <si>
    <t>7c8f0f60-cbb3-4e3a-b103-2c6e150d75ec</t>
  </si>
  <si>
    <t>f28c108d-0f99-4c84-a260-ecfacc10fd0e</t>
  </si>
  <si>
    <t>6a472bb0-9a95-477c-9fe7-9d1ea72f8e26</t>
  </si>
  <si>
    <t>1c587671-fa0c-4ab2-8c40-9da075f3c528</t>
  </si>
  <si>
    <t>efa8d0e2-0cab-462a-9705-a93bcc443566</t>
  </si>
  <si>
    <t>66492b59-ffa2-4c7f-b10c-22fff72660a9</t>
  </si>
  <si>
    <t>5ca27785-89f7-490b-a7f3-05c1b401c956</t>
  </si>
  <si>
    <t>4ecc3bcc-9a2c-4553-b455-f0e12a337b45</t>
  </si>
  <si>
    <t>20c8a438-df8a-4c3f-af84-14d7f715bc74</t>
  </si>
  <si>
    <t>e6de6559-8d72-49de-b46c-2aa5af20d69b</t>
  </si>
  <si>
    <t>c28be812-12f6-45b3-9134-d3eb615d8384</t>
  </si>
  <si>
    <t>e92c2fcc-985b-4493-9379-db3813d32754</t>
  </si>
  <si>
    <t>84be9068-d2a7-471f-afd3-48a9e0e6258f</t>
  </si>
  <si>
    <t>e2d7e8bb-fda5-472d-9b96-760a78c60e26</t>
  </si>
  <si>
    <t>599b4ba8-1a70-48d2-8431-157c6bc00e3e</t>
  </si>
  <si>
    <t>e7a34891-f6e5-49ef-b243-a8e5ae4d784d</t>
  </si>
  <si>
    <t>7fcac79d-653a-4eda-a77a-5ba412f243a8</t>
  </si>
  <si>
    <t>670e490d-84c7-4c4f-91f5-9f5db011cc5f</t>
  </si>
  <si>
    <t>2ccc9e95-c087-4cf7-a1bf-ed334f15de88</t>
  </si>
  <si>
    <t>b2f0b036-c0d1-4da2-9a31-024ee0519157</t>
  </si>
  <si>
    <t>fe0d9ff2-643f-4961-99d7-d7d34d007d95</t>
  </si>
  <si>
    <t>e5fa1e72-81d2-443e-adb4-791bfaf4b670</t>
  </si>
  <si>
    <t>eb48f4d8-7ca5-4302-8921-939bb4e688c8</t>
  </si>
  <si>
    <t>091d5dc7-e584-42a4-bfbb-6e84b04e67ee</t>
  </si>
  <si>
    <t>e6bf4961-3840-4168-aadf-a3c4fbc755ea</t>
  </si>
  <si>
    <t>5c768a81-58b1-4456-8494-8a27d446c176</t>
  </si>
  <si>
    <t>8f54440c-45c6-4a50-a00e-08e1b91f700a</t>
  </si>
  <si>
    <t>2f0ac20f-1ac9-4547-9346-a9a2dd19af20</t>
  </si>
  <si>
    <t>d7189df6-09ff-4e33-b3ae-116821c5e4f2</t>
  </si>
  <si>
    <t>568e6fb4-0221-4c1f-813d-361301ef1d5f</t>
  </si>
  <si>
    <t>e51dbe77-22a7-46a9-86e1-e57962355201</t>
  </si>
  <si>
    <t>83312093-ee83-407a-934e-079ce957946d</t>
  </si>
  <si>
    <t>557ce443-efc1-4b8f-8c94-d5f9e85add49</t>
  </si>
  <si>
    <t>378d55f6-bedc-4e8f-a463-3abba322a153</t>
  </si>
  <si>
    <t>c388e0b1-6bc4-4bb4-aa68-f9c496b48852</t>
  </si>
  <si>
    <t>726b52d2-7e77-4795-a1d8-825986b42e2e</t>
  </si>
  <si>
    <t>b9d29000-589f-448a-b59f-fc3785d2f4ed</t>
  </si>
  <si>
    <t>9c581f71-5f2f-4375-875b-36a0b6f6d990</t>
  </si>
  <si>
    <t>f58c7dd0-9283-4e77-b483-211c805335fd</t>
  </si>
  <si>
    <t>706ddb9a-cb8d-4a1e-81e8-14e40602e470</t>
  </si>
  <si>
    <t>55ed90ef-2dff-4e4a-9be5-031dd54b0447</t>
  </si>
  <si>
    <t>b7d72162-b026-4164-8088-daceb7a26fff</t>
  </si>
  <si>
    <t>13030812-68dd-42d2-a464-6e43e21c7160</t>
  </si>
  <si>
    <t>99fada69-fa65-40d0-9923-69e149aa91ef</t>
  </si>
  <si>
    <t>09f7e90a-4612-452f-b003-548ce65cd862</t>
  </si>
  <si>
    <t>77d1b027-bb61-4e8e-aa8f-b025e2b7ec7d</t>
  </si>
  <si>
    <t>d4519d2b-2af4-43b9-92ce-99a1af7c1c39</t>
  </si>
  <si>
    <t>02300212-e7a7-45ae-bd09-91eb04d36829</t>
  </si>
  <si>
    <t>cf02bffb-20d2-424a-8562-6421c4390dab</t>
  </si>
  <si>
    <t>74c06ffe-af58-4ace-8d78-5907815af7e6</t>
  </si>
  <si>
    <t>dc6d2f05-340b-4749-9ad3-042769c37da5</t>
  </si>
  <si>
    <t>2d0942a2-88dd-4338-b2a9-68d9e58b63a9</t>
  </si>
  <si>
    <t>f512e8e0-8996-4bb4-a4c1-1ca1fa02d7a3</t>
  </si>
  <si>
    <t>fc274733-408e-43bf-aa54-d214112b1548</t>
  </si>
  <si>
    <t>536d984e-6a11-4fad-98a5-0c0f2c3eab62</t>
  </si>
  <si>
    <t>f497575e-b7b2-4723-938a-30386092c7be</t>
  </si>
  <si>
    <t>fc28863e-447f-4e5e-b76f-727218233bbd</t>
  </si>
  <si>
    <t>a1b29317-2fc4-4e01-9c68-3d2227b01097</t>
  </si>
  <si>
    <t>4087c266-e159-4c37-9859-2de71f3a402f</t>
  </si>
  <si>
    <t>419e3d4d-d090-4273-b74c-92d9919e77c9</t>
  </si>
  <si>
    <t>370c7b1b-8106-4f8c-9191-2129da90cd71</t>
  </si>
  <si>
    <t>450d14a0-2d11-4eea-acce-3a4386dce4ac</t>
  </si>
  <si>
    <t>afa2c8dc-30ef-4d06-a884-753eb13959d5</t>
  </si>
  <si>
    <t>9bf1fd0b-5de0-4dfc-96a9-e120cb64fc9d</t>
  </si>
  <si>
    <t>b84807cd-3365-4d28-89f0-b079031f5ace</t>
  </si>
  <si>
    <t>a8682608-831f-4120-87f6-42bea2a61c8c</t>
  </si>
  <si>
    <t>2ecc022d-a17e-4c25-8702-1aa16ae7bc7f</t>
  </si>
  <si>
    <t>b11461e1-48cb-4414-81e2-c9465253d8ce</t>
  </si>
  <si>
    <t>6ceff389-27d6-48b0-9051-015c43e238ea</t>
  </si>
  <si>
    <t>d84d9c7e-666d-4ef9-a5ee-baa2b33f4894</t>
  </si>
  <si>
    <t>334cab1c-58ee-451f-a71a-c48dad603a23</t>
  </si>
  <si>
    <t>1bec1768-4134-4daf-87d6-2cda9fd68d1f</t>
  </si>
  <si>
    <t>62880283-cd1b-4f4e-99a3-cd9ea68dec75</t>
  </si>
  <si>
    <t>fecd1ba1-f8f6-48dd-9d8e-5850e9545353</t>
  </si>
  <si>
    <t>ae8f103b-54bd-4840-8054-58334478fcd3</t>
  </si>
  <si>
    <t>80d5a4ba-8666-403a-8a06-3dd5c107521f</t>
  </si>
  <si>
    <t>658c1623-39e9-4e55-a064-b2ebcb84c9dd</t>
  </si>
  <si>
    <t>8890d869-4350-4385-ac27-74164c3b5608</t>
  </si>
  <si>
    <t>766a9878-2161-4498-9ec9-3c863f81597f</t>
  </si>
  <si>
    <t>224c4d42-ee21-47c6-9bf5-7caff7600c05</t>
  </si>
  <si>
    <t>8d468061-8140-43dd-8b1e-2c6edaba7dcc</t>
  </si>
  <si>
    <t>cd866037-dc54-4c67-a548-b515b176be98</t>
  </si>
  <si>
    <t>56a7ff80-d327-4d57-b21f-f2c6c371d964</t>
  </si>
  <si>
    <t>2c3f2a11-9505-4bf6-9494-bdea5b9861b4</t>
  </si>
  <si>
    <t>391be65f-42c7-435e-a897-760d39572df7</t>
  </si>
  <si>
    <t>1eee405e-bd40-47b0-80b7-3b0679fffc76</t>
  </si>
  <si>
    <t>ff69325e-99a7-40f4-b582-9f5a5785b86a</t>
  </si>
  <si>
    <t>38883088-82e6-49c6-a4bb-3e8af6e30100</t>
  </si>
  <si>
    <t>9c62e74b-f4c5-4930-95fd-05af54d20e4e</t>
  </si>
  <si>
    <t>1bb55717-cc4e-4bba-bd0d-57f799de79df</t>
  </si>
  <si>
    <t>434d6a52-0bd2-43e3-ae6e-a2676278aafc</t>
  </si>
  <si>
    <t>5cabac37-62b4-47ff-a6e3-05fc87f546e1</t>
  </si>
  <si>
    <t>73a75504-55eb-4a89-a10c-2d1efea41435</t>
  </si>
  <si>
    <t>acc814f5-beb6-4b35-a4f1-52f7c5a8466c</t>
  </si>
  <si>
    <t>6bfe7532-11da-403e-8695-3432a19ae5d1</t>
  </si>
  <si>
    <t>b0a2f841-6af2-45d2-9664-ddb22328386f</t>
  </si>
  <si>
    <t>98ab13fb-7bec-46d3-8e53-51744b37ccf4</t>
  </si>
  <si>
    <t>6a05e5d1-b9f1-4a06-8b2e-00d9be0a9c75</t>
  </si>
  <si>
    <t>c19127d6-59de-4de0-9905-f31dc004a492</t>
  </si>
  <si>
    <t>9e84dec4-0bd3-4bda-9bd3-24dcfeec7a62</t>
  </si>
  <si>
    <t>d17e48c2-ebdd-476f-a8fe-cc4fded14748</t>
  </si>
  <si>
    <t>9e850bbc-305f-4d94-bcea-ec4cbae9fbec</t>
  </si>
  <si>
    <t>98a4fb80-94ac-44aa-89fd-0914dddf51ef</t>
  </si>
  <si>
    <t>bf457cd5-49da-417a-9fe9-dbe20d59ae4b</t>
  </si>
  <si>
    <t>9d6a710b-4d65-4c42-b09a-ec0593283b20</t>
  </si>
  <si>
    <t>d169f8c0-e79a-4228-94c0-5fd1bda788b9</t>
  </si>
  <si>
    <t>d3179fc8-0768-4a39-b460-5d801d944a0f</t>
  </si>
  <si>
    <t>8a452a10-0420-44d0-97a8-77e27484ba26</t>
  </si>
  <si>
    <t>656341de-b604-4cba-84be-2bae57863b9a</t>
  </si>
  <si>
    <t>be552b2f-f0d3-4fd9-a049-ab8a12e5b4a6</t>
  </si>
  <si>
    <t>385ad79f-78f0-4a0a-bda7-382086d6eb0e</t>
  </si>
  <si>
    <t>f597eb69-868c-4b28-a8a5-370dd93addda</t>
  </si>
  <si>
    <t>a1112cd2-63e8-4dcc-bde0-8594ed9ca808</t>
  </si>
  <si>
    <t>6ed22d1c-e852-4e23-977c-6b9832f0d83a</t>
  </si>
  <si>
    <t>7e71d750-4118-4614-bced-33bc8a40c19d</t>
  </si>
  <si>
    <t>fb87d8e0-933e-4217-8d46-bfc542d54a1c</t>
  </si>
  <si>
    <t>ebb7f7f9-3642-4bc0-9057-64a4639500f3</t>
  </si>
  <si>
    <t>6631ac1d-cc1d-4e93-933a-c456b9dbc245</t>
  </si>
  <si>
    <t>1ba05618-b233-4a66-8b9c-8d5fb409e733</t>
  </si>
  <si>
    <t>bc5479e3-8f7c-4a35-a546-4a0c03014c43</t>
  </si>
  <si>
    <t>07b2ef42-4121-4df3-bd9c-1f486c9f297d</t>
  </si>
  <si>
    <t>31ce5ae7-95d8-41f2-b0f6-b53a48805631</t>
  </si>
  <si>
    <t>68b92e1b-e711-4dca-a7ba-83604a5c1cd7</t>
  </si>
  <si>
    <t>546fc06f-0ad0-4c77-b584-b6207ce85032</t>
  </si>
  <si>
    <t>611da92d-86f8-4551-99c1-cdcc54f9c6c6</t>
  </si>
  <si>
    <t>020f1ec9-c5e4-49b6-b98e-2916ff3603f7</t>
  </si>
  <si>
    <t>e00b7f5d-8749-4514-9224-58cd8b62ec03</t>
  </si>
  <si>
    <t>69788d27-ec3b-43bf-b0fa-6589ae44d4bf</t>
  </si>
  <si>
    <t>ac3c9e48-76e6-4cf2-9281-acac55b27556</t>
  </si>
  <si>
    <t>10d41a34-2ce2-48dc-931c-617d97a922a2</t>
  </si>
  <si>
    <t>2ed16181-3218-4baa-b701-097b568c1fa9</t>
  </si>
  <si>
    <t>e0cf7efa-0d64-4319-be22-85fff8543ac7</t>
  </si>
  <si>
    <t>8ef64a8b-022e-40fa-9f38-9fe3c0e6f035</t>
  </si>
  <si>
    <t>d495410f-a416-4925-a4b5-091e0e32bb53</t>
  </si>
  <si>
    <t>47592560-65a8-473a-b958-19e7cbec3899</t>
  </si>
  <si>
    <t>e58612f1-8cdf-4ad2-a4b1-8e3d54eff969</t>
  </si>
  <si>
    <t>34b351d2-1982-492a-9142-c10a4ccc0deb</t>
  </si>
  <si>
    <t>2a634640-645b-40a4-bd68-061854dd8496</t>
  </si>
  <si>
    <t>42d19381-42c8-463d-9536-ed53fb96f056</t>
  </si>
  <si>
    <t>ef10f239-9ee2-43a2-836e-3cc6b4b67f01</t>
  </si>
  <si>
    <t>bd0878b4-0d0e-440e-8d9c-69485b286a31</t>
  </si>
  <si>
    <t>5297c01f-561d-4b1e-9e79-33a3f007b0de</t>
  </si>
  <si>
    <t>f2eed8dc-4dba-4e98-adce-448bf9ddc2fc</t>
  </si>
  <si>
    <t>c5023e06-f43d-42e0-a260-07856b28a1a6</t>
  </si>
  <si>
    <t>87c53591-0c10-4ac0-888a-e8ca04e0db2d</t>
  </si>
  <si>
    <t>c4a6005b-1cb8-428d-8ab4-f878e801f811</t>
  </si>
  <si>
    <t>31d8d43e-6693-4f55-8f82-c7c75f148ac0</t>
  </si>
  <si>
    <t>9b091047-c9d3-4366-9baa-561bcaffeb66</t>
  </si>
  <si>
    <t>5e112bc0-2924-4555-aef0-35867b3ba735</t>
  </si>
  <si>
    <t>99e536c3-b591-4109-a5b9-0c5e41d1ecec</t>
  </si>
  <si>
    <t>f304a74f-131f-4052-87d2-19b3a9fe4da5</t>
  </si>
  <si>
    <t>dfd92a97-35cd-41a2-9543-8c31ff4be412</t>
  </si>
  <si>
    <t>c9c12ef1-297b-4112-9f21-6fbb4cf177a7</t>
  </si>
  <si>
    <t>b54ffc00-f63a-4426-9c0d-4f3cc4bf7ef1</t>
  </si>
  <si>
    <t>eded349c-62bf-4983-8641-447472f54b1e</t>
  </si>
  <si>
    <t>b3337457-8384-465d-930a-388134bff798</t>
  </si>
  <si>
    <t>03e27e5c-5ddf-434d-aec0-a24f7700d8e6</t>
  </si>
  <si>
    <t>97d7c604-801c-438e-8c87-3d21fbe88dcb</t>
  </si>
  <si>
    <t>ce549f49-5e61-4bec-bd01-8864b33a8183</t>
  </si>
  <si>
    <t>4a154c2c-af0c-48d5-b33a-abfc9f36b303</t>
  </si>
  <si>
    <t>33b7fb60-60f9-44ed-8831-dd591c034061</t>
  </si>
  <si>
    <t>7dd01549-ccbd-44a0-a05e-d26d6c6f2700</t>
  </si>
  <si>
    <t>4603414f-4b7a-4f1e-b669-9691916df58f</t>
  </si>
  <si>
    <t>82fb70a4-1d50-4d8c-87fb-941f33689f7b</t>
  </si>
  <si>
    <t>0c245d2b-b3db-4aec-b239-df0e7325bb31</t>
  </si>
  <si>
    <t>5f6479d4-8ad1-4d0a-9b42-6f9dbb3cb9f4</t>
  </si>
  <si>
    <t>9afa0f19-48f8-4411-839b-e5ba7d46fe19</t>
  </si>
  <si>
    <t>9778d6eb-6645-4846-b98d-41a463a3d51b</t>
  </si>
  <si>
    <t>4e5d53c5-778b-44b4-be76-2471244b18dd</t>
  </si>
  <si>
    <t>0dbed695-5bcf-4ce1-96f0-e0606aca8118</t>
  </si>
  <si>
    <t>2dd38964-4eff-45fc-b829-d4e0b0b5de28</t>
  </si>
  <si>
    <t>30693957-871c-4e3b-93a7-40e0f5ccb675</t>
  </si>
  <si>
    <t>69af8044-6abb-4f97-8734-b7730e2b272f</t>
  </si>
  <si>
    <t>22dc574b-4ac6-46b9-8169-30ebb76916eb</t>
  </si>
  <si>
    <t>77548eab-aa23-47df-aca1-6e96ddfe41b1</t>
  </si>
  <si>
    <t>f786c02b-64f9-4283-897b-f25725768565</t>
  </si>
  <si>
    <t>226d7978-8b50-4eed-af03-4dbbbf9a4299</t>
  </si>
  <si>
    <t>7f0bc91c-b624-45b2-92c3-78cabad149e0</t>
  </si>
  <si>
    <t>a9a959bf-9b50-49e9-b2de-57df0991f1a3</t>
  </si>
  <si>
    <t>3e597168-3aab-4c17-9ab5-a6cf9c8c90da</t>
  </si>
  <si>
    <t>536a44cf-0000-4623-9071-5cba7b83cf50</t>
  </si>
  <si>
    <t>59092e09-0dbc-4fc5-b278-30c1bade494e</t>
  </si>
  <si>
    <t>568d5251-a028-417e-9043-03bba128203a</t>
  </si>
  <si>
    <t>fcbf7c26-4b2b-4b3d-8fa8-3b0443519f6a</t>
  </si>
  <si>
    <t>9142b33e-0eea-46a8-b2d6-65748c79a51b</t>
  </si>
  <si>
    <t>03d820d3-a3aa-4c06-b050-c7df142fa639</t>
  </si>
  <si>
    <t>99dfff88-bb1e-45ab-824f-5039c6214e7d</t>
  </si>
  <si>
    <t>0c64db4b-516c-4ae3-8535-245897b0d1e2</t>
  </si>
  <si>
    <t>17f493a4-a6e1-4656-8b5a-d1f05bf95168</t>
  </si>
  <si>
    <t>f3927eb7-ecbb-407e-8cdd-f184dc7d7cea</t>
  </si>
  <si>
    <t>c3373f7f-cade-4d57-97d9-8e51f1106393</t>
  </si>
  <si>
    <t>4875b979-8bae-4f55-b608-f9c63d3a64c5</t>
  </si>
  <si>
    <t>b6ae726c-3cb1-47d2-b60a-ea938381efe5</t>
  </si>
  <si>
    <t>843e08e3-37b3-4967-a8ca-9f92e799b0d0</t>
  </si>
  <si>
    <t>953fcb28-edb7-4ea5-bdd6-aca6f0d93c77</t>
  </si>
  <si>
    <t>065a1e3f-aa81-415f-b803-a5e4194cfb47</t>
  </si>
  <si>
    <t>51e84dce-fbf9-4ecb-820d-bf7fc7bfc3b1</t>
  </si>
  <si>
    <t>8aa9e8cc-1a54-42a5-a412-fc6bcef9ad9a</t>
  </si>
  <si>
    <t>467ce3a5-14e6-4969-8828-44a208759e5b</t>
  </si>
  <si>
    <t>5e4bcc97-b9a0-4da1-bd60-3fa2af7d2aec</t>
  </si>
  <si>
    <t>9b17f6fd-1775-4c39-9f7a-a713518ea0ee</t>
  </si>
  <si>
    <t>01f5b716-4b50-4821-a6b6-31e03ae688c0</t>
  </si>
  <si>
    <t>d26a9356-d7f0-42ab-96b2-d71d0a0fcd81</t>
  </si>
  <si>
    <t>bcc80f67-536f-436e-bf9f-c94baaee8a16</t>
  </si>
  <si>
    <t>72623046-6989-4844-9ce5-cb7fd7762169</t>
  </si>
  <si>
    <t>bf2ab528-1ef7-4f3b-982c-3bad07ee96f5</t>
  </si>
  <si>
    <t>7bdda34e-2371-49e3-b76f-869d84c79fc2</t>
  </si>
  <si>
    <t>fc65efe0-c883-4106-8dfe-0f4e1ab1cf39</t>
  </si>
  <si>
    <t>4b2fe627-376b-44ce-b482-df32ee8eac71</t>
  </si>
  <si>
    <t>3b3f5f53-3226-41fd-9795-20aa8c5af220</t>
  </si>
  <si>
    <t>df367afb-3443-4711-842a-ce47bcb85b8f</t>
  </si>
  <si>
    <t>9a3def96-953b-4933-ad1f-8acd4af589fd</t>
  </si>
  <si>
    <t>d99c1fc5-77af-435c-9a48-a77f6ce04f4a</t>
  </si>
  <si>
    <t>12f84c3f-7fa8-4d64-a7e0-1b2e2ae8cb9f</t>
  </si>
  <si>
    <t>923b6b02-c43c-4872-b9fa-0ab3894580bd</t>
  </si>
  <si>
    <t>6a1f7b46-9c19-40e2-82e9-9432ace69e32</t>
  </si>
  <si>
    <t>7bea3f5b-22eb-463b-bf66-3871fcb11037</t>
  </si>
  <si>
    <t>6781c2d0-38e2-40ac-bddd-f64196897c13</t>
  </si>
  <si>
    <t>1e3517b0-ab0d-4136-a752-ae05a31aac28</t>
  </si>
  <si>
    <t>39daed80-4505-4457-914c-c00cd07ae46d</t>
  </si>
  <si>
    <t>86d29442-63d6-4317-a6ee-f7fa92331384</t>
  </si>
  <si>
    <t>bd9ea01c-36ac-4d31-82a8-5b78d91f1e1e</t>
  </si>
  <si>
    <t>1993c791-652a-4552-8631-49549a41e62c</t>
  </si>
  <si>
    <t>7f381abb-3a46-4356-8de4-d05bbdd85c97</t>
  </si>
  <si>
    <t>403a931d-18f5-4936-8762-4e4f3210bbbb</t>
  </si>
  <si>
    <t>982cc84b-e285-4ddd-bf8c-a0f3e5351cb2</t>
  </si>
  <si>
    <t>a1ab5d11-3df0-4684-b778-6f2b240bd242</t>
  </si>
  <si>
    <t>4f699d5e-aa41-4416-bfc7-d512c78dc24d</t>
  </si>
  <si>
    <t>e623b4bc-40de-4159-be50-ca26f7f733f1</t>
  </si>
  <si>
    <t>c4e70439-1883-4db9-811d-9797b8431f29</t>
  </si>
  <si>
    <t>24087ad9-9abf-4b27-84d9-e23e4d29b92c</t>
  </si>
  <si>
    <t>a6bf5afb-be23-44b1-af76-d58d4f0f93d0</t>
  </si>
  <si>
    <t>6ad29a04-87b9-412a-bfa4-e76284ed2864</t>
  </si>
  <si>
    <t>44a3ed06-9968-48b2-84db-2b3b80aaa24b</t>
  </si>
  <si>
    <t>90d0d880-06fe-4557-ab4b-e88599ad8f5f</t>
  </si>
  <si>
    <t>75ba2655-0d1c-4f44-9465-3bda2d61e1a9</t>
  </si>
  <si>
    <t>b751ad98-e765-4d12-b395-2b943a08c93a</t>
  </si>
  <si>
    <t>d77cfd90-9b77-477b-8691-4555bb07943f</t>
  </si>
  <si>
    <t>237d5e54-ee7b-47ea-ab81-d2c73be3ea00</t>
  </si>
  <si>
    <t>791cf9ec-1d92-4616-a52c-76d50307c03c</t>
  </si>
  <si>
    <t>4db004d7-d1fd-4808-b0a0-e954ac75edb2</t>
  </si>
  <si>
    <t>03438da8-aaec-44a2-bb01-84c481d4e46d</t>
  </si>
  <si>
    <t>74a5fa0c-41c3-4962-b689-75c86f40ef5b</t>
  </si>
  <si>
    <t>61aea2e2-2ebd-42dc-a1db-e010d0105d12</t>
  </si>
  <si>
    <t>fb30914a-ab31-4c00-8964-60cc27dff6fc</t>
  </si>
  <si>
    <t>efdeea70-e9e1-462c-9d63-7363f92e9675</t>
  </si>
  <si>
    <t>60863e2c-fc3d-4159-9062-823d94962043</t>
  </si>
  <si>
    <t>d7adff3a-6559-431b-b87c-b59c02663f6d</t>
  </si>
  <si>
    <t>56c8703c-0b6a-4855-8f8c-71ffbb864a41</t>
  </si>
  <si>
    <t>03bfd4bd-07bc-466a-b996-cda3dbc960f6</t>
  </si>
  <si>
    <t>2238bc41-e5c5-4920-9eb3-775d98f47820</t>
  </si>
  <si>
    <t>fa843a74-9995-42b0-9609-0f12c837b933</t>
  </si>
  <si>
    <t>6710cae0-d2bd-43b3-91c8-63f62074f36f</t>
  </si>
  <si>
    <t>2a1779f8-decc-4e6a-9ecb-3dc1d3a86992</t>
  </si>
  <si>
    <t>db46dd88-18d9-429f-825b-7c85c476714f</t>
  </si>
  <si>
    <t>29730126-d478-4410-9604-21efa590f1fe</t>
  </si>
  <si>
    <t>67b113fc-9150-4782-9ffc-2ce3ff279934</t>
  </si>
  <si>
    <t>17acb389-0e72-45c8-ac86-d60d97e7f99a</t>
  </si>
  <si>
    <t>341ca0ab-92c0-4215-ad6b-f48271555c50</t>
  </si>
  <si>
    <t>a59f97c3-afb5-4ce2-875b-c9ff848316a1</t>
  </si>
  <si>
    <t>dbe586b9-b584-4a17-ba54-78342d58f8f4</t>
  </si>
  <si>
    <t>12f671b0-2f22-40b6-89fc-7de9d7e7d52f</t>
  </si>
  <si>
    <t>70820e8e-b154-413b-878b-059ee45a8c8a</t>
  </si>
  <si>
    <t>72f7df09-0981-4f5c-a50b-b0c3a9cae383</t>
  </si>
  <si>
    <t>ca215cf9-e9de-4832-a79c-8edc43fe308b</t>
  </si>
  <si>
    <t>0cc458db-4700-4f81-ab9f-f7cfdc99c42c</t>
  </si>
  <si>
    <t>d50938f1-1912-4750-9842-d6973cef5ed1</t>
  </si>
  <si>
    <t>97ec3395-c904-478b-97aa-81239166463e</t>
  </si>
  <si>
    <t>04b44966-a995-4e15-858a-189bb63130c7</t>
  </si>
  <si>
    <t>0db11439-213a-4a5f-b985-0730c5df290b</t>
  </si>
  <si>
    <t>159765ac-c14e-4227-b94c-75e535f544d4</t>
  </si>
  <si>
    <t>8153dcbd-292b-4fb5-b595-4ebec093f970</t>
  </si>
  <si>
    <t>9e51d72e-f057-41a2-8b0a-8898a332b358</t>
  </si>
  <si>
    <t>c52727bf-894f-4fce-9718-6d17eb5683b3</t>
  </si>
  <si>
    <t>d61db263-a3f0-4136-8374-b461e590023e</t>
  </si>
  <si>
    <t>ab05d0b9-6297-4ba2-87a9-37766912a927</t>
  </si>
  <si>
    <t>05cf06f4-fb9c-46b9-8143-90d133de7c7c</t>
  </si>
  <si>
    <t>1724d5d4-1a24-4dee-8e21-81ee475d264a</t>
  </si>
  <si>
    <t>de9a6188-6d9e-46ed-9a8d-fbb149349404</t>
  </si>
  <si>
    <t>f7e042ea-d325-46a7-a529-d2db26f733b4</t>
  </si>
  <si>
    <t>847465bf-f550-451d-b75c-c1d5262a7bec</t>
  </si>
  <si>
    <t>ccce6efa-8323-43cb-aace-7dac8b9def4b</t>
  </si>
  <si>
    <t>bcd3e1e2-94b7-4f50-a56b-11e97168c46d</t>
  </si>
  <si>
    <t>c67baf0d-dca4-4f17-bee4-3d0f28fcb96e</t>
  </si>
  <si>
    <t>4cdef435-302e-4962-b0f5-2bb4e72c1d30</t>
  </si>
  <si>
    <t>4885ec9b-a602-4bbc-90fe-c0e7efb339b6</t>
  </si>
  <si>
    <t>084827a9-2965-4cfa-97d7-5f57b5e02f96</t>
  </si>
  <si>
    <t>a7373067-a7f5-42fd-a979-766032779d06</t>
  </si>
  <si>
    <t>52e21fae-ec23-4adb-b27b-42b825d45da1</t>
  </si>
  <si>
    <t>5e22665e-a072-4777-be87-559efcc3dfce</t>
  </si>
  <si>
    <t>bcd3255a-5676-4a54-872e-617967ef9c19</t>
  </si>
  <si>
    <t>c0143890-83be-49fb-90cc-437199b6372d</t>
  </si>
  <si>
    <t>d9986ecd-24db-4c90-840f-6d223321f62d</t>
  </si>
  <si>
    <t>d3e962b4-faf1-4a2a-befe-e4805a1f3b84</t>
  </si>
  <si>
    <t>2b68f7ce-9980-4a86-88cf-d8f6811a9a7d</t>
  </si>
  <si>
    <t>64b3150a-0692-4601-9e5e-41e5f1ecb028</t>
  </si>
  <si>
    <t>6b680f31-6040-4b11-98ca-a2ee0255b97f</t>
  </si>
  <si>
    <t>ed8e292f-3626-47db-8e69-c7d173de75de</t>
  </si>
  <si>
    <t>afd7ee56-29bf-4272-b137-9c2237d35221</t>
  </si>
  <si>
    <t>74ea8681-238b-45f0-abf7-f77bb50fd1ab</t>
  </si>
  <si>
    <t>a24001aa-b339-4204-b7e5-5636d37cc08d</t>
  </si>
  <si>
    <t>3394c196-b17f-457f-9d85-84c98cb90bc7</t>
  </si>
  <si>
    <t>74a46b75-8ec7-442d-b11e-e14b65f22c33</t>
  </si>
  <si>
    <t>4b74a6f5-4d5a-41bd-90f2-f7e4956ed15a</t>
  </si>
  <si>
    <t>0c5b8f38-652b-4db9-92ea-8feb9cae757e</t>
  </si>
  <si>
    <t>bd54770c-ab6a-4221-9ee7-4f2485a88b85</t>
  </si>
  <si>
    <t>bdd907a3-4305-4816-8716-329796ec068d</t>
  </si>
  <si>
    <t>7febb278-56d3-4243-af1d-fd3ccdd031c9</t>
  </si>
  <si>
    <t>1f91a794-b579-41e7-8564-ae1c8cb079f5</t>
  </si>
  <si>
    <t>d26fd8ff-5d68-40c2-82a1-c2638ff03729</t>
  </si>
  <si>
    <t>c8821ff1-946d-4041-bec5-c92b1b5f2898</t>
  </si>
  <si>
    <t>e7908a1b-8fff-4be0-92d2-13c41ac1b2e2</t>
  </si>
  <si>
    <t>3690339f-0b74-4d4f-aac8-35097568ca65</t>
  </si>
  <si>
    <t>49a86d39-50d9-45ed-abb1-0b5d36bfbaad</t>
  </si>
  <si>
    <t>3570fca5-d3ac-4403-a01b-c54e364251ee</t>
  </si>
  <si>
    <t>9378278a-e990-4c7c-95cd-ec977f1f999b</t>
  </si>
  <si>
    <t>df0bc4dd-a51b-4e47-a51d-f490a26628d5</t>
  </si>
  <si>
    <t>714f63f9-f41b-41bf-8863-e9a6f426f1fb</t>
  </si>
  <si>
    <t>4e4121fb-538a-412a-878d-73fecf149994</t>
  </si>
  <si>
    <t>7847dded-758c-4b37-815a-e875469e5ab2</t>
  </si>
  <si>
    <t>b06e22e0-b5db-464a-8a84-3679387d120b</t>
  </si>
  <si>
    <t>af030326-2a76-48da-bf5f-847917b56f83</t>
  </si>
  <si>
    <t>94abe799-2be4-4e4d-ba6e-bbc16bce3ffb</t>
  </si>
  <si>
    <t>234bbe59-7ec8-452d-9e2d-2fb4fdfd610a</t>
  </si>
  <si>
    <t>96794a0b-4207-419d-824a-4381344626b2</t>
  </si>
  <si>
    <t>47ab0ca0-9730-401b-816d-dc4d60258834</t>
  </si>
  <si>
    <t>58360722-1db2-41a9-b6ec-d5ab305c03c2</t>
  </si>
  <si>
    <t>1915a2ea-ec3a-423a-b530-6d20c074f5b1</t>
  </si>
  <si>
    <t>6218a07b-d9a2-495a-b4a3-e7d61904c278</t>
  </si>
  <si>
    <t>6d4433c8-2be6-4796-bdad-8bb0ba390f96</t>
  </si>
  <si>
    <t>38327d81-4ed5-4147-947f-8875750ca545</t>
  </si>
  <si>
    <t>a00bad57-c23c-4033-957a-4dc8702aba94</t>
  </si>
  <si>
    <t>535bf82f-5c90-4e28-83cb-dab0da70201e</t>
  </si>
  <si>
    <t>ba877e46-0e39-47b7-baa3-ac5214c3c5d4</t>
  </si>
  <si>
    <t>72fbd806-f104-4e32-8eee-a68c1a3a74e6</t>
  </si>
  <si>
    <t>52122496-5d3a-47f5-8cda-ca47cea5a84e</t>
  </si>
  <si>
    <t>f71c149e-50ba-4975-8b2c-9d6f7d3f02a7</t>
  </si>
  <si>
    <t>fa4d1b96-0e03-4872-9352-a4aedd5b343c</t>
  </si>
  <si>
    <t>a8bb07ef-cb3b-4338-aa0b-2d10120abead</t>
  </si>
  <si>
    <t>75f12940-9bad-4844-b77b-d151f0465c31</t>
  </si>
  <si>
    <t>83c6aabb-fb9e-46cd-b494-1bfbcedaf20b</t>
  </si>
  <si>
    <t>9146ce74-fae9-48f5-9eb9-1fea3d544b98</t>
  </si>
  <si>
    <t>d8e99a33-7781-4f4c-bf88-2cc5f1afc6b0</t>
  </si>
  <si>
    <t>96c770e6-70bd-4989-8504-0bb55463daaf</t>
  </si>
  <si>
    <t>c46fe632-5a1c-4d9b-b22a-54fd560155af</t>
  </si>
  <si>
    <t>090d126a-af7e-41c1-bde6-0d956338d2c6</t>
  </si>
  <si>
    <t>504f46e2-2fe5-42e9-8f62-b2febb7a3f33</t>
  </si>
  <si>
    <t>7ab3a70b-b30c-47c9-a3c9-a21ebadb8d25</t>
  </si>
  <si>
    <t>e916fa00-1f9e-4969-a020-0cf660386ef1</t>
  </si>
  <si>
    <t>e61558ca-125a-4f17-92f1-6229519209d5</t>
  </si>
  <si>
    <t>6fd302c6-ceeb-4f6f-8b54-a3fc39cc7f55</t>
  </si>
  <si>
    <t>708c0d5c-e2cd-4635-8b19-5f170d186878</t>
  </si>
  <si>
    <t>0b976c30-6c96-4a64-9321-07662b420105</t>
  </si>
  <si>
    <t>d388f078-6010-4c24-b802-8884016303b0</t>
  </si>
  <si>
    <t>d1ec3803-9bcf-43a1-bfa8-76af7a51498c</t>
  </si>
  <si>
    <t>d25056a3-3ece-4c49-ba73-1aa8c9bd9ab6</t>
  </si>
  <si>
    <t>d310a9bc-aa26-409e-bf22-844f2823ef24</t>
  </si>
  <si>
    <t>6b57b66c-3908-46e2-9fd7-ce640a4f3e36</t>
  </si>
  <si>
    <t>573652f0-b3f0-4fec-9850-bd5afaed5627</t>
  </si>
  <si>
    <t>364f35bf-472c-41ca-9ae9-fd0d09727c3a</t>
  </si>
  <si>
    <t>c34d6790-83f1-4c2c-a48b-9fcb9157d48c</t>
  </si>
  <si>
    <t>db610830-7ea4-4d9f-a95e-51df46515632</t>
  </si>
  <si>
    <t>de1775c9-ebb9-46ef-979d-5a8d10960ef9</t>
  </si>
  <si>
    <t>246a4a25-3c11-47a6-b5ab-eba84419b970</t>
  </si>
  <si>
    <t>cc45745c-06af-43ff-a117-1df5da687daa</t>
  </si>
  <si>
    <t>872f77fe-a5de-4876-b9f0-132ef739535e</t>
  </si>
  <si>
    <t>895f64d6-cea1-4386-b012-9c852d46250f</t>
  </si>
  <si>
    <t>1c16afe2-819a-4ae6-b579-cd693a65df4e</t>
  </si>
  <si>
    <t>5802cb4d-f2e2-4332-a2f3-febca25ea310</t>
  </si>
  <si>
    <t>435659a8-db5c-4cd0-b8b6-39dbaa3e37fd</t>
  </si>
  <si>
    <t>879d9c01-a68c-4e19-addc-92d17cf6fd99</t>
  </si>
  <si>
    <t>a381192c-a036-4533-9cf8-5ac8024ac2bb</t>
  </si>
  <si>
    <t>dab03b03-9729-4243-8947-771bd42de47c</t>
  </si>
  <si>
    <t>7a66886d-3e71-4b09-b6f3-6cad34274cd1</t>
  </si>
  <si>
    <t>f05f04cf-3089-40f8-9b66-7c713d512bba</t>
  </si>
  <si>
    <t>0b972d0f-2059-4d20-a66e-d3eeb37f54c5</t>
  </si>
  <si>
    <t>3754cf42-ccc9-40b3-bd5d-03c89d425b6e</t>
  </si>
  <si>
    <t>7b4e1f74-b785-4cdc-b5ef-7974ed30fbac</t>
  </si>
  <si>
    <t>42d851d5-42a7-4ade-933a-357faf87f12a</t>
  </si>
  <si>
    <t>e2aa0969-3665-49a1-9923-97d34791c5d3</t>
  </si>
  <si>
    <t>9fd54ec3-872f-41e8-b760-7d2e5ff5c097</t>
  </si>
  <si>
    <t>3379ac1e-9066-4b48-abd5-9947b34e58ff</t>
  </si>
  <si>
    <t>716117d3-01cc-4f56-8cf4-8296a0e537a5</t>
  </si>
  <si>
    <t>1c62bb4f-1db4-4978-a9ca-8e12332a8f85</t>
  </si>
  <si>
    <t>f31580f7-a7c9-4c6b-8fee-22c23a5ae55b</t>
  </si>
  <si>
    <t>99083b8b-5de6-4850-90e8-d2b5cf941367</t>
  </si>
  <si>
    <t>01fadef3-f2a8-45dc-b55a-0796c3738f15</t>
  </si>
  <si>
    <t>fdde6f17-7f93-4fdc-8f3b-530bc80bc530</t>
  </si>
  <si>
    <t>ed6be55e-f446-481c-b865-9604cd873b6d</t>
  </si>
  <si>
    <t>e35797af-396e-4845-a113-feabec7dc7cc</t>
  </si>
  <si>
    <t>e72c17fa-9622-487e-96a1-b6df3b204ed3</t>
  </si>
  <si>
    <t>cf5284b6-85a9-4296-8ff8-8a77ad8518ae</t>
  </si>
  <si>
    <t>01033fb3-9b02-483f-b680-e5e51e3f38c0</t>
  </si>
  <si>
    <t>d0059684-ecfe-4806-8541-3a07326955a1</t>
  </si>
  <si>
    <t>c63310ea-b08d-45d5-bd04-4e473ef92cdc</t>
  </si>
  <si>
    <t>9aa344bd-f21c-4441-a171-bc8d2b50fd25</t>
  </si>
  <si>
    <t>0f3b6479-7cf8-41a4-bb92-81e7bc2d4ce5</t>
  </si>
  <si>
    <t>a4eb4c75-0e22-42e0-a9b9-c369f96de1b8</t>
  </si>
  <si>
    <t>214f5b80-6ece-4e3a-a278-cbf90bd848e2</t>
  </si>
  <si>
    <t>b3a52fef-8abb-4bc1-b229-7a80c685f2e2</t>
  </si>
  <si>
    <t>781fde2b-8c9d-4275-9e07-4362181de8cd</t>
  </si>
  <si>
    <t>efbbf8d7-ba1e-4619-8278-2f8a37d0c090</t>
  </si>
  <si>
    <t>2382fdcc-eb7e-4cc9-993f-3ad7d64caf02</t>
  </si>
  <si>
    <t>833b4b8d-5ec0-4ea8-95c9-bc799675c080</t>
  </si>
  <si>
    <t>7aac1a1c-9424-4798-974d-9123232ae2df</t>
  </si>
  <si>
    <t>11aa387b-f313-4a72-aafe-38ae9ac6a4d6</t>
  </si>
  <si>
    <t>732765ae-dfdc-49fa-9d19-b58d32289fa0</t>
  </si>
  <si>
    <t>5a249ee1-6c87-4a52-a35b-ca77c2397a2d</t>
  </si>
  <si>
    <t>f313cba7-1591-46d8-af44-b3239b4e4d66</t>
  </si>
  <si>
    <t>8e03e94c-9b10-4403-b599-51379205577a</t>
  </si>
  <si>
    <t>4b9ec84c-4343-472b-a048-db18c67502ef</t>
  </si>
  <si>
    <t>b891b8ae-d6e7-4207-8124-f70cc897a233</t>
  </si>
  <si>
    <t>a1374b53-58df-489a-9dc0-00e890631e06</t>
  </si>
  <si>
    <t>4cbd5d41-b4bf-45da-bccb-0f6843e83c0e</t>
  </si>
  <si>
    <t>121446bf-b597-4782-8c47-e55bdede5c44</t>
  </si>
  <si>
    <t>46b6970d-b5b8-4dd6-809c-5cc8764f6c37</t>
  </si>
  <si>
    <t>d7a9ccc3-349d-4413-bd8c-2efb292c62df</t>
  </si>
  <si>
    <t>2c0c46e6-0d11-40e8-9e5c-191be5a0d780</t>
  </si>
  <si>
    <t>3cf907f5-cc6b-4bf2-97cd-4c3133f683e0</t>
  </si>
  <si>
    <t>9cdfd845-7854-424c-a0f9-8360002b4193</t>
  </si>
  <si>
    <t>9e0514c5-6614-49da-86ec-2078477cfac4</t>
  </si>
  <si>
    <t>8eea27a5-60bd-4b70-a1bc-fa67162556be</t>
  </si>
  <si>
    <t>397fc52e-f32e-403f-a5db-e71d03b0a104</t>
  </si>
  <si>
    <t>95f0daed-3a15-48e7-abe3-edac6267f089</t>
  </si>
  <si>
    <t>5d69d0a3-74e8-4269-ab43-bdd814b97a8b</t>
  </si>
  <si>
    <t>c2e722af-1949-46f9-a70b-1e0607b0cd36</t>
  </si>
  <si>
    <t>bd502fe8-af3c-45db-a594-f95e16ddbd8f</t>
  </si>
  <si>
    <t>9683ac6c-575c-4c8d-af75-d8237112abf6</t>
  </si>
  <si>
    <t>af44e2c5-8883-451a-b0ae-aea2a113a45d</t>
  </si>
  <si>
    <t>0e4bbca8-986c-4bc7-ab91-5f36014340b1</t>
  </si>
  <si>
    <t>7b973919-a660-4bb6-996d-1fe69fcdd1f8</t>
  </si>
  <si>
    <t>4a458a85-7408-4453-a260-b51dd245b3c1</t>
  </si>
  <si>
    <t>03590be2-4353-4c68-b1e3-06e4658d8fe0</t>
  </si>
  <si>
    <t>8fdb2e1c-b70d-4075-a341-65c6ff4d37fa</t>
  </si>
  <si>
    <t>3cb6bfd9-36b8-4146-9522-15f3ed82637f</t>
  </si>
  <si>
    <t>f33fa56e-d616-4f90-a254-4d7383afb6a5</t>
  </si>
  <si>
    <t>ab2172c6-c24d-4215-9b4e-ac997c1ee7ca</t>
  </si>
  <si>
    <t>9a7c80b5-5519-4921-9f71-70e493e88776</t>
  </si>
  <si>
    <t>c351039c-a526-45fa-95c2-0f8f49d4b30d</t>
  </si>
  <si>
    <t>a0a03e20-8a2b-483c-9c24-ef8fa2e7bdb4</t>
  </si>
  <si>
    <t>4b9f0612-d5ce-4a76-8e21-f5280510e91b</t>
  </si>
  <si>
    <t>4d6704a8-3dfa-41d8-8cc2-72f68a4dd1eb</t>
  </si>
  <si>
    <t>eb59369f-c2e0-4556-b79f-f043dc4f6b70</t>
  </si>
  <si>
    <t>196b3c22-bd0c-41b7-9cfb-3738c14bd472</t>
  </si>
  <si>
    <t>23c403c2-d396-4e73-bec1-d473d5d8ed4a</t>
  </si>
  <si>
    <t>7e4a3ddf-5619-4246-99b7-76c15aeb1fbc</t>
  </si>
  <si>
    <t>09fd9e32-b882-4502-9bf5-a190e3dc4864</t>
  </si>
  <si>
    <t>7954d06b-32fa-4d91-a0fd-b1b4da58ceed</t>
  </si>
  <si>
    <t>7ebdbc97-e645-4ed6-b580-657f1724639a</t>
  </si>
  <si>
    <t>d3911798-6312-4ff3-a666-4432652c941b</t>
  </si>
  <si>
    <t>85776c86-a649-4c11-8620-531d2cd71057</t>
  </si>
  <si>
    <t>a91d4c81-1b4d-4f21-ba39-0eb891e57204</t>
  </si>
  <si>
    <t>2f6634e1-64cd-47c0-93b2-aab5fd8e1426</t>
  </si>
  <si>
    <t>d474a02f-64e9-4e92-991a-46ace95a4187</t>
  </si>
  <si>
    <t>c86755c1-ff58-4e6f-a69c-daf62f42a3bb</t>
  </si>
  <si>
    <t>8cd0fc82-e09b-4169-872b-dcfba901bd83</t>
  </si>
  <si>
    <t>9fb04801-389c-4557-8092-076a91475202</t>
  </si>
  <si>
    <t>39d97cd2-1358-45b8-9099-1391d8de99a0</t>
  </si>
  <si>
    <t>4cbe57b6-94b1-4e21-a9e1-1e5c3795e308</t>
  </si>
  <si>
    <t>f8a292be-d8a8-4c01-93fc-bfa1b48f3bf7</t>
  </si>
  <si>
    <t>442b2098-06d3-492e-accf-ede48654b32e</t>
  </si>
  <si>
    <t>a9227f50-343d-4075-adff-9703571151b0</t>
  </si>
  <si>
    <t>3e571d77-e3c7-44f3-9dac-16ef4e85eff5</t>
  </si>
  <si>
    <t>86a098f9-4c74-41eb-928a-450bf7750af1</t>
  </si>
  <si>
    <t>ddd70af8-c811-4536-acf5-034e15820cb0</t>
  </si>
  <si>
    <t>a9740c67-81cf-4d65-a94a-b800f850e21a</t>
  </si>
  <si>
    <t>b3a850e1-1102-44a6-b748-0d05ae20e3d4</t>
  </si>
  <si>
    <t>4c7d8e1e-7470-4442-9b60-b9ef525d84f2</t>
  </si>
  <si>
    <t>1305c60b-7729-42a9-9f73-e15a6a8f72d9</t>
  </si>
  <si>
    <t>a59abb6d-56b8-4f68-9cf0-6542a62d7ff6</t>
  </si>
  <si>
    <t>70f37a19-89b2-4933-8e09-0aafe9830375</t>
  </si>
  <si>
    <t>9a0c3761-f5f8-439a-9ffb-1b5502aeee23</t>
  </si>
  <si>
    <t>26ec6488-6474-44a6-96fa-34078b6f3b7f</t>
  </si>
  <si>
    <t>437a83a1-662f-4cb0-892b-984c6530ab46</t>
  </si>
  <si>
    <t>e38f488a-2fb5-4509-b761-c2a1df5af133</t>
  </si>
  <si>
    <t>EDA — дослідницький аналіз даних: очищення, типізація, пошук аномалій, побудова первинних графіків</t>
  </si>
  <si>
    <t>string</t>
  </si>
  <si>
    <t>date</t>
  </si>
  <si>
    <t>text</t>
  </si>
  <si>
    <t>number</t>
  </si>
  <si>
    <t>boolean</t>
  </si>
  <si>
    <t>missing_check</t>
  </si>
  <si>
    <t>Середній рейтинг курсів за категоріями</t>
  </si>
  <si>
    <t>Розподіл користувачів за пристроями</t>
  </si>
  <si>
    <t xml:space="preserve">Отже, найвищий середній рейтинг мають Business-курси (2.70), трохи нижчий — Data Science (2.63). Найнижчий рейтинг — у Design-курсів (2.43).
Це може свідчити про те, що користувачі більше задоволені практичними бізнес-курсами, ніж творчими напрямами."
</t>
  </si>
  <si>
    <t>Найчастіше студенти навчаються з планшетів (36.7%) та мобільних пристроїв (33.5%), менше — з комп’ютерів (29.8%).
Це підкреслює мобільність та адаптивність EdTech-платформи до навчання “на ходу”"</t>
  </si>
  <si>
    <t>Топ країни за кількістю студентів</t>
  </si>
  <si>
    <t>Середній відсоток завершення курсів у кожній категорії</t>
  </si>
  <si>
    <t>До топ-5 країн входять США, Індія, Велика Британія, Франція та Німеччина.
Це свідчить про міжнародний характер платформи, а також потенціал розширення локалізації контенту різними мовами.</t>
  </si>
  <si>
    <t>Найвищий рівень завершення курсів — у категорії Business (63.12%), що може бути пов’язано з чіткою структурою та прикладною користю цих програм.
Найнижчий — у Design (50.68%), що може сигналізувати про необхідність покращення методики або структури навчання в цій категорії.</t>
  </si>
  <si>
    <t xml:space="preserve">перевірка пропусків </t>
  </si>
  <si>
    <t>SQL-запити для аналізу освітнього проєкту (EdTech Dataset)</t>
  </si>
  <si>
    <t>Скріншот виконання запиту</t>
  </si>
  <si>
    <t>SQL-запит</t>
  </si>
  <si>
    <t>Коментарі, що робить кожен запит</t>
  </si>
  <si>
    <t>Запит 1.</t>
  </si>
  <si>
    <t>-- Аналіз середнього рейтингу курсів за категоріями
-- Цей запит визначає, які напрямки навчання отримують найвищу оцінку користувачів.
-- Важливо для розуміння, які теми приваблюють студентів і мають вищу якість контенту.</t>
  </si>
  <si>
    <t>Запит розраховує середній рейтинг курсів за кожною навчальною категорією.
Найвищий рейтинг мають Business (2.7) та Data Science (2.63), що свідчить про їхню популярність і якість контенту.
Ця метрика важлива для визначення напрямків, у які варто інвестувати ресурси та розвивати нові курси.</t>
  </si>
  <si>
    <t>SELECT</t>
  </si>
  <si>
    <t>course_category,</t>
  </si>
  <si>
    <t>ROUND(AVG(course_rating), 2) AS avg_rating,</t>
  </si>
  <si>
    <t>COUNT(course_id) AS total_courses</t>
  </si>
  <si>
    <t>FROM `homework-475519.edtech_dataset.courses_data`</t>
  </si>
  <si>
    <t>GROUP BY course_category</t>
  </si>
  <si>
    <t>ORDER BY avg_rating DESC;</t>
  </si>
  <si>
    <t>Запит 2.</t>
  </si>
  <si>
    <t>-- Аналіз середнього відсотка завершення курсів за країнами
-- Цей запит показує, у яких країнах студенти найчастіше доходять до кінця курсу.
-- Це важлива метрика залучення користувачів і ефективності контенту.</t>
  </si>
  <si>
    <t>Запит аналізує середній відсоток завершення курсів у різних країнах серед користувачів, які повністю пройшли навчання.
Результати демонструють рівень мотивації студентів та ефективність навчального контенту залежно від регіону.
Для бізнесу ця інформація дозволяє визначити, у яких країнах варто інвестувати у локалізацію, рекламу чи партнерства з навчальними центрами.</t>
  </si>
  <si>
    <t>country,</t>
  </si>
  <si>
    <t>ROUND(AVG(progress_percent), 2) AS avg_completion_percent,</t>
  </si>
  <si>
    <t>COUNT(DISTINCT student_id) AS total_students</t>
  </si>
  <si>
    <t>WHERE completed = 1</t>
  </si>
  <si>
    <t>GROUP BY country</t>
  </si>
  <si>
    <t>ORDER BY avg_completion_percent DESC</t>
  </si>
  <si>
    <t>LIMIT 10;</t>
  </si>
  <si>
    <t>Запит 3.</t>
  </si>
  <si>
    <t>-- Аналіз розподілу користувачів за типом пристрою
-- Запит показує, які пристрої (мобільний, планшет, комп’ютер) студенти використовують найчастіше,
-- і скільки годин у середньому вони витрачають на навчання.
-- Це допомагає оцінити, як користувачі взаємодіють із платформою та які пристрої потребують оптимізації.</t>
  </si>
  <si>
    <t>Запит аналізує, з яких пристроїв користувачі найчастіше проходять курси,
та скільки годин у середньому вони витрачають на навчання з кожного пристрою.
Найчастіше студенти використовують мобільні пристрої та планшети, що свідчить про потребу оптимізації контенту під мобільний формат.
Цей аналіз допомагає бізнесу визначити пріоритети для покращення UX-досвіду та розробки мобільних застосунків.</t>
  </si>
  <si>
    <t>device,</t>
  </si>
  <si>
    <t>COUNT(DISTINCT student_id) AS total_users,</t>
  </si>
  <si>
    <t>ROUND(AVG(hours_spent), 2) AS avg_hours_spent</t>
  </si>
  <si>
    <t>GROUP BY device</t>
  </si>
  <si>
    <t>ORDER BY total_users DESC;</t>
  </si>
  <si>
    <t>Запит 4.</t>
  </si>
  <si>
    <t>-- Аналіз утримання користувачів через 30 днів після навчання
-- Цей запит визначає, який відсоток студентів залишився активним після 30 днів.
-- Retention rate є ключовим показником лояльності користувачів і якості контенту EdTech-платформи.</t>
  </si>
  <si>
    <t>Запит розраховує частку студентів, які залишились активними через 30 днів після навчання.
Цей показник відображає рівень залученості та лояльності користувачів до платформи.
Високий retention rate свідчить про якісний контент, корисні курси та ефективну взаємодію з аудиторією.
Для бізнесу це один із ключових KPI, що впливає на стабільність доходу та розвиток продукту.</t>
  </si>
  <si>
    <t>ROUND((</t>
  </si>
  <si>
    <t>SELECT COUNT(DISTINCT student_id)</t>
  </si>
  <si>
    <t>WHERE retained_after_30d = 1</t>
  </si>
  <si>
    <t>) * 100.0 / COUNT(DISTINCT student_id), 2) AS retention_rate_percent</t>
  </si>
  <si>
    <t>FROM `homework-475519.edtech_dataset.courses_data`;</t>
  </si>
  <si>
    <t xml:space="preserve">АНАЛІТИЧНИЙ ЗВІТ ПО ОСВІТНІЙ ПЛАТФОРМІ </t>
  </si>
  <si>
    <t>Загальна кількість студентів</t>
  </si>
  <si>
    <t>Кількість завершених курсів</t>
  </si>
  <si>
    <t>Середній рейтинг курсів</t>
  </si>
  <si>
    <t>Середня кількість годин навчання</t>
  </si>
  <si>
    <t>Частка студентів, які залишилися активними через 30 днів</t>
  </si>
  <si>
    <t>Частка завершених курсів</t>
  </si>
  <si>
    <t>Середній відсоток завершення курсів</t>
  </si>
  <si>
    <t>Найпопулярніший пристрій</t>
  </si>
  <si>
    <t>Кількість країн, з яких зареєстровані студенти на платформі</t>
  </si>
  <si>
    <t>avg_rating</t>
  </si>
  <si>
    <t>completion_rate (%)</t>
  </si>
  <si>
    <t>users</t>
  </si>
  <si>
    <t>Взаємозв’язок між середнім рейтингом курсу та середнім відсотком завершення</t>
  </si>
  <si>
    <t>AVERAGE of course_rating</t>
  </si>
  <si>
    <t>AVERAGE of progress_percent</t>
  </si>
  <si>
    <t>Grand Total</t>
  </si>
  <si>
    <t>Підсумкові висновки за результатами аналізу освітньої платформи</t>
  </si>
  <si>
    <t>У таблиці були перевірені типи даних, відсутність дублікатів і порожніх значень. Дані приведено до єдиного формату (дати, числові показники).</t>
  </si>
  <si>
    <t>Виконано перевірку на пропуски — результат “OK” для всіх стовпців, що підтверджує якість вихідних даних.</t>
  </si>
  <si>
    <t>1. Загальні показники активності</t>
  </si>
  <si>
    <t>Платформа має стабільну базу користувачів — 600 студентів, з яких 67% залишаються активними через 30 днів після початку навчання.</t>
  </si>
  <si>
    <t>Середня кількість годин, витрачених студентами на навчання, становить 34.09 годин.</t>
  </si>
  <si>
    <t>Висновок:</t>
  </si>
  <si>
    <t>Це свідчить про високий рівень лояльності, інтерес до контенту та ефективність комунікаційних стратегій.</t>
  </si>
  <si>
    <t>Рекомендації:</t>
  </si>
  <si>
    <t>Підтримувати регулярну комунікацію зі студентами через листи, повідомлення та push-сповіщення.</t>
  </si>
  <si>
    <t>Впровадити мотиваційні програми, бейджі, сертифікати або бонуси для підвищення Retention Rate.</t>
  </si>
  <si>
    <t>Регулярно доповнювати базу новими полями — наприклад, часом перегляду відео або кількістю спроб тестів.</t>
  </si>
  <si>
    <t>2. Рівень завершення курсів</t>
  </si>
  <si>
    <t>Середній рівень завершення курсів становить 56.17%, що є позитивним показником, але має потенціал для покращення.</t>
  </si>
  <si>
    <t>Найвищий відсоток завершення спостерігається у категорії Business (63.1%), а найнижчий — Design (50.6%).</t>
  </si>
  <si>
    <t>Це свідчить про те, що практичні курси з бізнесу мають вищу мотивацію до завершення, тоді як творчі напрямки потребують додаткової підтримки.</t>
  </si>
  <si>
    <t>Посилити підтримку студентів у творчих напрямах (Design, Marketing), наприклад через додаткові матеріали, менторство, форуми, короткі практичні завдання або гейміфікацію навчання.</t>
  </si>
  <si>
    <t>Розробити систему проміжних етапів навчання (чекпойнти, нагадування, інтерактиви).</t>
  </si>
  <si>
    <t>3. Оцінка якості контенту за категоріями курсів</t>
  </si>
  <si>
    <t>Середній рейтинг курсів становить 2.51.</t>
  </si>
  <si>
    <t xml:space="preserve">Найвищий середній рейтинг має категорія Business (2.70), найнижчий — Marketing (2.27). </t>
  </si>
  <si>
    <t>Це свідчить, що бізнес-курси краще відповідають очікуванням користувачів ісприймаються студентами як найякісніші та найкорисніші , а контент з маркетингу потребує покращення.</t>
  </si>
  <si>
    <t>Провести опитування користувачів для визначення чинників низької оцінки курсів з маркетингу та редизайн навчальних модулів відповідно до зворотного зв’язку.</t>
  </si>
  <si>
    <t>Запровадити щоквартальний аудит якості навчальних матеріалів і аналіз відгуків користувачів.</t>
  </si>
  <si>
    <t>4. Географічна структура аудиторії</t>
  </si>
  <si>
    <t>Найактивніші користувачі проживають у країнах США, Індія та Велика Британія, що підкреслює міжнародну аудиторію платформи.</t>
  </si>
  <si>
    <t>Платформа має глобальне охоплення користувачів із різних країн і створює базу для глобального позиціонування бренду, розширення партнерств та впровадження багатомовної підтримки.</t>
  </si>
  <si>
    <t>Це підтверджує міжнародний характер платформи та потенціал розширення на нові ринки.</t>
  </si>
  <si>
    <t>Запровадити багатомовну підтримку та локалізацію контенту під ключові регіони, а також використовувати регіональні маркетингові кампанії.</t>
  </si>
  <si>
    <t>Розширити таргетовані кампанії у топових країнах (США, Індія, Велика Британія,) та запустити таргетовані кампанії для залучення нових користувачів для розширення географічної аудиторії (Німеччина. Франція, Канада, Швейцарія).</t>
  </si>
  <si>
    <t>Перекласти найпопулярніші курси кількома мовами (англійська, німецька, французька).</t>
  </si>
  <si>
    <t>Налагодити партнерства з місцевими освітніми установами для підвищення довіри до бренду.</t>
  </si>
  <si>
    <t>5. Використання пристроїв</t>
  </si>
  <si>
    <t>Аналіз пристроїв показав, що основна частина студентів навчається з мобільних пристроїв і планшетів (понад 70%).</t>
  </si>
  <si>
    <t>Найбільше користувачів навчаються з планшетів (36.7%), далі — мобільні телефони (33.5%) і комп’ютери (29.8%).</t>
  </si>
  <si>
    <t>Це свідчить про домінування мобільного формату навчання та необхідність розвитку адаптивного дизайну.</t>
  </si>
  <si>
    <t>Розробити мобільний додаток із можливістю офлайн-доступу до курсів</t>
  </si>
  <si>
    <t>Оптимізувати платформу під мобільні інтерфейси: адаптивний дизайн, швидке завантаження відео, забезпечити стабільну роботу відео на планшетах, короткі інтерактиви для гнучкого формату “навчання будь-де”</t>
  </si>
  <si>
    <t>Надання додаткових курсів як подарунку за успішне завершення навчання або високу регулярність відвідувань.</t>
  </si>
  <si>
    <t>Отримання балів або внутрішньої валюти за своєчасне виконання домашніх завдань, проходження тестів або завершення курсу.</t>
  </si>
  <si>
    <t>Проведення щомісячних розіграшів серед найактивніших студентів із можливістю виграти новий курс, навчальний гаджет або сертифікат знижки.</t>
  </si>
  <si>
    <t>6. Взаємозв’язок між рейтингом та завершенням курсів</t>
  </si>
  <si>
    <t>Спостерігається позитивна кореляція: вищий рейтинг курсу супроводжується вищим рівнем завершення.</t>
  </si>
  <si>
    <t>Це означає, що якість контенту напряму впливає на мотивацію та успішність студентів.</t>
  </si>
  <si>
    <t>Регулярно оновлювати контент і відслідковувати відгуки, щоб утримувати високий рівень задоволеності студентів.</t>
  </si>
  <si>
    <t>Постійно відстежувати динаміку рейтингів та відсоток завершення після кожного оновлення курсу.</t>
  </si>
  <si>
    <t>Впровадити систему оцінювання контенту викладачами та студентами для підвищення якості навчання.</t>
  </si>
  <si>
    <t>Підсумковий висновок</t>
  </si>
  <si>
    <t>Аналіз даних освітньої платформи дозволив глибоко оцінити рівень активності користувачів, якість навчальних курсів, технічні особливості взаємодії з платформою та міжнародне охоплення аудиторії.</t>
  </si>
  <si>
    <t>Результати свідчать, що платформа має стабільну користувацьку базу, ефективну систему залучення та ефективний рівень утримання студентів (Retention Rate 67%), що є сильним показником для EdTech-сегменту.</t>
  </si>
  <si>
    <t>Загалом освітня платформа демонструє стабільність, високу якість контенту, активну взаємодію користувачів і перспективи подальшого розвитку.</t>
  </si>
  <si>
    <t>Однак для посилення конкурентоспроможності на ринку EdTech доцільно спрямувати ресурси на персоналізацію навчання, мобільну адаптацію та розширення міжнародної присутності.</t>
  </si>
  <si>
    <t>Створити внутрішній дашборд з моніторингом KPI: Retention Rate, Completion Rate, Average Rating, Active Users.</t>
  </si>
  <si>
    <t>Проводити щомісячний аналіз взаємозв’язку між рейтингами, завершенням курсів і активністю студентів.</t>
  </si>
  <si>
    <t>На основі даних формувати персоналізовані рекомендації для користувачів (наприклад, “схожі курси” або “наступний крок у навчанні”).</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</si>
</sst>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3">
    <font>
      <sz val="10.0"/>
      <color rgb="FF000000"/>
      <name val="Arial"/>
      <scheme val="minor"/>
    </font>
    <font>
      <sz val="9.0"/>
      <color theme="1"/>
      <name val="Arial"/>
      <scheme val="minor"/>
    </font>
    <font>
      <color theme="1"/>
      <name val="Arial"/>
      <scheme val="minor"/>
    </font>
    <font>
      <b/>
      <sz val="14.0"/>
      <color theme="1"/>
      <name val="Arial"/>
      <scheme val="minor"/>
    </font>
    <font>
      <i/>
      <sz val="10.0"/>
      <color theme="1"/>
      <name val="Arial"/>
      <scheme val="minor"/>
    </font>
    <font>
      <b/>
      <color theme="1"/>
      <name val="Arial"/>
      <scheme val="minor"/>
    </font>
    <font>
      <b/>
      <sz val="9.0"/>
      <color theme="1"/>
      <name val="Arial"/>
      <scheme val="minor"/>
    </font>
    <font>
      <b/>
      <i/>
      <color theme="1"/>
      <name val="Arial"/>
      <scheme val="minor"/>
    </font>
    <font>
      <b/>
      <sz val="11.0"/>
      <color rgb="FF000000"/>
      <name val="Arial"/>
      <scheme val="minor"/>
    </font>
    <font>
      <b/>
      <sz val="11.0"/>
      <color theme="1"/>
      <name val="Arial"/>
      <scheme val="minor"/>
    </font>
    <font>
      <b/>
      <sz val="12.0"/>
      <color theme="1"/>
      <name val="Arial"/>
      <scheme val="minor"/>
    </font>
    <font>
      <b/>
      <sz val="13.0"/>
      <color theme="1"/>
      <name val="Arial"/>
      <scheme val="minor"/>
    </font>
    <font>
      <b/>
      <color theme="1"/>
      <name val="Arial"/>
    </font>
    <font>
      <sz val="14.0"/>
      <color theme="1"/>
      <name val="Arial"/>
      <scheme val="minor"/>
    </font>
    <font>
      <sz val="9.0"/>
      <color rgb="FF202124"/>
      <name val="'Roboto Mono'"/>
    </font>
    <font>
      <sz val="9.0"/>
      <color rgb="FF000000"/>
      <name val="'Roboto Mono'"/>
    </font>
    <font>
      <sz val="9.0"/>
      <color rgb="FFB06000"/>
      <name val="'Roboto Mono'"/>
    </font>
    <font>
      <sz val="9.0"/>
      <color rgb="FF1967D2"/>
      <name val="'Roboto Mono'"/>
    </font>
    <font>
      <sz val="13.0"/>
      <color theme="1"/>
      <name val="Arial"/>
      <scheme val="minor"/>
    </font>
    <font>
      <sz val="9.0"/>
      <color rgb="FF3C4043"/>
      <name val="'Roboto Mono'"/>
    </font>
    <font>
      <b/>
      <sz val="14.0"/>
      <color theme="1"/>
      <name val="Arial"/>
    </font>
    <font>
      <i/>
      <color theme="1"/>
      <name val="Arial"/>
      <scheme val="minor"/>
    </font>
    <font>
      <color rgb="FF000000"/>
      <name val="Arial"/>
      <scheme val="minor"/>
    </font>
  </fonts>
  <fills count="13">
    <fill>
      <patternFill patternType="none"/>
    </fill>
    <fill>
      <patternFill patternType="lightGray"/>
    </fill>
    <fill>
      <patternFill patternType="solid">
        <fgColor rgb="FF6D9EEB"/>
        <bgColor rgb="FF6D9EEB"/>
      </patternFill>
    </fill>
    <fill>
      <patternFill patternType="solid">
        <fgColor theme="0"/>
        <bgColor theme="0"/>
      </patternFill>
    </fill>
    <fill>
      <patternFill patternType="solid">
        <fgColor rgb="FFD0E0E3"/>
        <bgColor rgb="FFD0E0E3"/>
      </patternFill>
    </fill>
    <fill>
      <patternFill patternType="solid">
        <fgColor rgb="FF93C47D"/>
        <bgColor rgb="FF93C47D"/>
      </patternFill>
    </fill>
    <fill>
      <patternFill patternType="solid">
        <fgColor rgb="FFF4CCCC"/>
        <bgColor rgb="FFF4CCCC"/>
      </patternFill>
    </fill>
    <fill>
      <patternFill patternType="solid">
        <fgColor rgb="FFD9D2E9"/>
        <bgColor rgb="FFD9D2E9"/>
      </patternFill>
    </fill>
    <fill>
      <patternFill patternType="solid">
        <fgColor rgb="FFB6D7A8"/>
        <bgColor rgb="FFB6D7A8"/>
      </patternFill>
    </fill>
    <fill>
      <patternFill patternType="solid">
        <fgColor rgb="FFB4A7D6"/>
        <bgColor rgb="FFB4A7D6"/>
      </patternFill>
    </fill>
    <fill>
      <patternFill patternType="solid">
        <fgColor rgb="FFFFF2CC"/>
        <bgColor rgb="FFFFF2CC"/>
      </patternFill>
    </fill>
    <fill>
      <patternFill patternType="solid">
        <fgColor rgb="FFFFFFFF"/>
        <bgColor rgb="FFFFFFFF"/>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4" xfId="0" applyAlignment="1" applyFont="1" applyNumberFormat="1">
      <alignment horizontal="center" readingOrder="0"/>
    </xf>
    <xf borderId="0" fillId="0" fontId="2" numFmtId="0" xfId="0" applyAlignment="1" applyFont="1">
      <alignment readingOrder="0"/>
    </xf>
    <xf borderId="0" fillId="0" fontId="2" numFmtId="164" xfId="0" applyAlignment="1" applyFont="1" applyNumberFormat="1">
      <alignment horizontal="center" readingOrder="0"/>
    </xf>
    <xf borderId="0" fillId="0" fontId="2" numFmtId="4" xfId="0" applyAlignment="1" applyFont="1" applyNumberFormat="1">
      <alignment horizontal="center" readingOrder="0"/>
    </xf>
    <xf borderId="0" fillId="0" fontId="2" numFmtId="0" xfId="0" applyAlignment="1" applyFont="1">
      <alignment horizontal="center" readingOrder="0"/>
    </xf>
    <xf borderId="0" fillId="0" fontId="2" numFmtId="0" xfId="0" applyFont="1"/>
    <xf borderId="0" fillId="0" fontId="2" numFmtId="4" xfId="0" applyAlignment="1" applyFont="1" applyNumberFormat="1">
      <alignment horizontal="center"/>
    </xf>
    <xf borderId="0" fillId="0" fontId="2" numFmtId="0" xfId="0" applyAlignment="1" applyFont="1">
      <alignment horizontal="center"/>
    </xf>
    <xf borderId="0" fillId="3" fontId="3" numFmtId="0" xfId="0" applyAlignment="1" applyFill="1" applyFont="1">
      <alignment horizontal="center" readingOrder="0"/>
    </xf>
    <xf borderId="0" fillId="4" fontId="4" numFmtId="0" xfId="0" applyAlignment="1" applyFill="1" applyFont="1">
      <alignment horizontal="center" readingOrder="0"/>
    </xf>
    <xf borderId="0" fillId="4" fontId="4" numFmtId="4" xfId="0" applyAlignment="1" applyFont="1" applyNumberFormat="1">
      <alignment horizontal="center" readingOrder="0"/>
    </xf>
    <xf borderId="0" fillId="4" fontId="2" numFmtId="4" xfId="0" applyAlignment="1" applyFont="1" applyNumberFormat="1">
      <alignment horizontal="center"/>
    </xf>
    <xf borderId="0" fillId="0" fontId="5" numFmtId="0" xfId="0" applyFont="1"/>
    <xf borderId="0" fillId="5" fontId="6" numFmtId="0" xfId="0" applyAlignment="1" applyFill="1" applyFont="1">
      <alignment horizontal="left"/>
    </xf>
    <xf borderId="0" fillId="5" fontId="6" numFmtId="0" xfId="0" applyAlignment="1" applyFont="1">
      <alignment horizontal="center"/>
    </xf>
    <xf borderId="0" fillId="5" fontId="6" numFmtId="4" xfId="0" applyAlignment="1" applyFont="1" applyNumberFormat="1">
      <alignment horizontal="center"/>
    </xf>
    <xf borderId="0" fillId="6" fontId="7" numFmtId="0" xfId="0" applyAlignment="1" applyFill="1" applyFont="1">
      <alignment horizontal="center" readingOrder="0"/>
    </xf>
    <xf borderId="0" fillId="6" fontId="2" numFmtId="4" xfId="0" applyAlignment="1" applyFont="1" applyNumberFormat="1">
      <alignment horizontal="center"/>
    </xf>
    <xf borderId="0" fillId="0" fontId="2" numFmtId="0" xfId="0" applyAlignment="1" applyFont="1">
      <alignment horizontal="left"/>
    </xf>
    <xf borderId="0" fillId="0" fontId="2" numFmtId="164" xfId="0" applyAlignment="1" applyFont="1" applyNumberFormat="1">
      <alignment horizontal="center"/>
    </xf>
    <xf borderId="0" fillId="6" fontId="2" numFmtId="0" xfId="0" applyAlignment="1" applyFont="1">
      <alignment horizontal="center"/>
    </xf>
    <xf borderId="0" fillId="5" fontId="8" numFmtId="0" xfId="0" applyAlignment="1" applyFont="1">
      <alignment readingOrder="0"/>
    </xf>
    <xf borderId="0" fillId="5" fontId="9" numFmtId="0" xfId="0" applyAlignment="1" applyFont="1">
      <alignment horizontal="center" readingOrder="0"/>
    </xf>
    <xf borderId="1" fillId="7" fontId="5" numFmtId="0" xfId="0" applyAlignment="1" applyBorder="1" applyFill="1" applyFont="1">
      <alignment horizontal="center"/>
    </xf>
    <xf borderId="1" fillId="7" fontId="5" numFmtId="4" xfId="0" applyAlignment="1" applyBorder="1" applyFont="1" applyNumberFormat="1">
      <alignment horizontal="center"/>
    </xf>
    <xf borderId="1" fillId="0" fontId="5" numFmtId="0" xfId="0" applyBorder="1" applyFont="1"/>
    <xf borderId="1" fillId="0" fontId="2" numFmtId="4" xfId="0" applyAlignment="1" applyBorder="1" applyFont="1" applyNumberFormat="1">
      <alignment horizontal="center"/>
    </xf>
    <xf borderId="1" fillId="0" fontId="2" numFmtId="0" xfId="0" applyAlignment="1" applyBorder="1" applyFont="1">
      <alignment horizontal="center"/>
    </xf>
    <xf borderId="0" fillId="0" fontId="2" numFmtId="0" xfId="0" applyAlignment="1" applyFont="1">
      <alignment readingOrder="0" shrinkToFit="0" wrapText="1"/>
    </xf>
    <xf borderId="0" fillId="0" fontId="2" numFmtId="0" xfId="0" applyAlignment="1" applyFont="1">
      <alignment readingOrder="0" shrinkToFit="0" vertical="top" wrapText="1"/>
    </xf>
    <xf borderId="0" fillId="0" fontId="2" numFmtId="4" xfId="0" applyFont="1" applyNumberFormat="1"/>
    <xf borderId="0" fillId="8" fontId="10" numFmtId="0" xfId="0" applyAlignment="1" applyFill="1" applyFont="1">
      <alignment readingOrder="0"/>
    </xf>
    <xf borderId="0" fillId="8" fontId="9" numFmtId="0" xfId="0" applyAlignment="1" applyFont="1">
      <alignment readingOrder="0"/>
    </xf>
    <xf borderId="1" fillId="7" fontId="5" numFmtId="0" xfId="0" applyBorder="1" applyFont="1"/>
    <xf borderId="1" fillId="0" fontId="5" numFmtId="0" xfId="0" applyAlignment="1" applyBorder="1" applyFont="1">
      <alignment horizontal="center"/>
    </xf>
    <xf borderId="1" fillId="0" fontId="2" numFmtId="10" xfId="0" applyAlignment="1" applyBorder="1" applyFont="1" applyNumberFormat="1">
      <alignment horizontal="center"/>
    </xf>
    <xf borderId="0" fillId="0" fontId="2" numFmtId="10" xfId="0" applyAlignment="1" applyFont="1" applyNumberFormat="1">
      <alignment horizontal="center"/>
    </xf>
    <xf borderId="0" fillId="3" fontId="11" numFmtId="0" xfId="0" applyAlignment="1" applyFont="1">
      <alignment readingOrder="0" shrinkToFit="0" wrapText="1"/>
    </xf>
    <xf borderId="0" fillId="5" fontId="2" numFmtId="0" xfId="0" applyAlignment="1" applyFont="1">
      <alignment horizontal="left" readingOrder="0"/>
    </xf>
    <xf borderId="0" fillId="6" fontId="2" numFmtId="0" xfId="0" applyFont="1"/>
    <xf borderId="0" fillId="9" fontId="2" numFmtId="0" xfId="0" applyFill="1" applyFont="1"/>
    <xf borderId="0" fillId="3" fontId="2" numFmtId="0" xfId="0" applyFont="1"/>
    <xf borderId="0" fillId="10" fontId="3" numFmtId="0" xfId="0" applyAlignment="1" applyFill="1" applyFont="1">
      <alignment horizontal="center" readingOrder="0"/>
    </xf>
    <xf borderId="0" fillId="9" fontId="12" numFmtId="0" xfId="0" applyAlignment="1" applyFont="1">
      <alignment horizontal="center" vertical="bottom"/>
    </xf>
    <xf borderId="0" fillId="9" fontId="12" numFmtId="0" xfId="0" applyAlignment="1" applyFont="1">
      <alignment vertical="bottom"/>
    </xf>
    <xf borderId="0" fillId="8" fontId="3" numFmtId="0" xfId="0" applyAlignment="1" applyFont="1">
      <alignment readingOrder="0"/>
    </xf>
    <xf borderId="0" fillId="8" fontId="2" numFmtId="0" xfId="0" applyAlignment="1" applyFont="1">
      <alignment horizontal="left" readingOrder="0"/>
    </xf>
    <xf borderId="0" fillId="8" fontId="2" numFmtId="0" xfId="0" applyAlignment="1" applyFont="1">
      <alignment readingOrder="0" shrinkToFit="0" vertical="top" wrapText="1"/>
    </xf>
    <xf borderId="0" fillId="0" fontId="2" numFmtId="0" xfId="0" applyAlignment="1" applyFont="1">
      <alignment horizontal="left" readingOrder="0"/>
    </xf>
    <xf borderId="0" fillId="0" fontId="13" numFmtId="0" xfId="0" applyAlignment="1" applyFont="1">
      <alignment readingOrder="0" shrinkToFit="0" vertical="top" wrapText="1"/>
    </xf>
    <xf borderId="0" fillId="11" fontId="14" numFmtId="0" xfId="0" applyAlignment="1" applyFill="1" applyFont="1">
      <alignment readingOrder="0"/>
    </xf>
    <xf borderId="0" fillId="11" fontId="15" numFmtId="0" xfId="0" applyAlignment="1" applyFont="1">
      <alignment readingOrder="0"/>
    </xf>
    <xf borderId="0" fillId="8" fontId="2" numFmtId="0" xfId="0" applyFont="1"/>
    <xf borderId="0" fillId="11" fontId="16" numFmtId="0" xfId="0" applyAlignment="1" applyFont="1">
      <alignment readingOrder="0"/>
    </xf>
    <xf borderId="0" fillId="11" fontId="17" numFmtId="0" xfId="0" applyAlignment="1" applyFont="1">
      <alignment readingOrder="0"/>
    </xf>
    <xf borderId="0" fillId="0" fontId="18" numFmtId="0" xfId="0" applyAlignment="1" applyFont="1">
      <alignment readingOrder="0" shrinkToFit="0" vertical="top" wrapText="1"/>
    </xf>
    <xf borderId="0" fillId="11" fontId="19" numFmtId="0" xfId="0" applyAlignment="1" applyFont="1">
      <alignment readingOrder="0"/>
    </xf>
    <xf borderId="0" fillId="0" fontId="20" numFmtId="0" xfId="0" applyAlignment="1" applyFont="1">
      <alignment horizontal="center" readingOrder="0"/>
    </xf>
    <xf borderId="0" fillId="12" fontId="5" numFmtId="0" xfId="0" applyAlignment="1" applyFill="1" applyFont="1">
      <alignment readingOrder="0"/>
    </xf>
    <xf borderId="0" fillId="7" fontId="2" numFmtId="0" xfId="0" applyAlignment="1" applyFont="1">
      <alignment horizontal="center"/>
    </xf>
    <xf borderId="0" fillId="7" fontId="2" numFmtId="4" xfId="0" applyAlignment="1" applyFont="1" applyNumberFormat="1">
      <alignment horizontal="center"/>
    </xf>
    <xf borderId="0" fillId="12" fontId="5" numFmtId="0" xfId="0" applyAlignment="1" applyFont="1">
      <alignment horizontal="left" readingOrder="0" shrinkToFit="0" wrapText="1"/>
    </xf>
    <xf borderId="0" fillId="12" fontId="5" numFmtId="0" xfId="0" applyAlignment="1" applyFont="1">
      <alignment readingOrder="0" vertical="top"/>
    </xf>
    <xf borderId="0" fillId="12" fontId="5" numFmtId="0" xfId="0" applyAlignment="1" applyFont="1">
      <alignment horizontal="center" readingOrder="0" shrinkToFit="0" vertical="top" wrapText="1"/>
    </xf>
    <xf borderId="0" fillId="7" fontId="2" numFmtId="10" xfId="0" applyAlignment="1" applyFont="1" applyNumberFormat="1">
      <alignment horizontal="center"/>
    </xf>
    <xf borderId="0" fillId="12" fontId="5" numFmtId="0" xfId="0" applyAlignment="1" applyFont="1">
      <alignment vertical="top"/>
    </xf>
    <xf borderId="0" fillId="12" fontId="5" numFmtId="0" xfId="0" applyAlignment="1" applyFont="1">
      <alignment shrinkToFit="0" wrapText="1"/>
    </xf>
    <xf borderId="0" fillId="12" fontId="5" numFmtId="0" xfId="0" applyAlignment="1" applyFont="1">
      <alignment readingOrder="0" shrinkToFit="0" vertical="top" wrapText="1"/>
    </xf>
    <xf borderId="0" fillId="0" fontId="21" numFmtId="0" xfId="0" applyAlignment="1" applyFont="1">
      <alignment horizontal="center"/>
    </xf>
    <xf borderId="0" fillId="0" fontId="21" numFmtId="4" xfId="0" applyAlignment="1" applyFont="1" applyNumberFormat="1">
      <alignment horizontal="center"/>
    </xf>
    <xf borderId="0" fillId="0" fontId="21" numFmtId="0" xfId="0" applyFont="1"/>
    <xf borderId="0" fillId="0" fontId="2" numFmtId="10" xfId="0" applyFont="1" applyNumberFormat="1"/>
    <xf borderId="0" fillId="12" fontId="5" numFmtId="0" xfId="0" applyFont="1"/>
    <xf borderId="0" fillId="12" fontId="5" numFmtId="0" xfId="0" applyAlignment="1" applyFont="1">
      <alignment readingOrder="0" shrinkToFit="0" wrapText="1"/>
    </xf>
    <xf borderId="0" fillId="7" fontId="22" numFmtId="0" xfId="0" applyAlignment="1" applyFont="1">
      <alignment shrinkToFit="0" vertical="top" wrapText="1"/>
    </xf>
    <xf borderId="0" fillId="0" fontId="3" numFmtId="0" xfId="0" applyAlignment="1" applyFont="1">
      <alignment horizontal="center" readingOrder="0"/>
    </xf>
    <xf borderId="0" fillId="0" fontId="5" numFmtId="0" xfId="0" applyAlignment="1" applyFont="1">
      <alignment readingOrder="0"/>
    </xf>
    <xf borderId="0" fillId="0" fontId="7" numFmtId="0" xfId="0" applyAlignment="1" applyFont="1">
      <alignment readingOrder="0"/>
    </xf>
    <xf borderId="0" fillId="7"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chemeClr val="dk1"/>
                </a:solidFill>
                <a:latin typeface="+mn-lt"/>
              </a:defRPr>
            </a:pPr>
            <a:r>
              <a:rPr b="1" sz="1600">
                <a:solidFill>
                  <a:schemeClr val="dk1"/>
                </a:solidFill>
                <a:latin typeface="+mn-lt"/>
              </a:rPr>
              <a:t>Середній рейтинг курсів за категоріями</a:t>
            </a:r>
          </a:p>
        </c:rich>
      </c:tx>
      <c:overlay val="0"/>
    </c:title>
    <c:view3D>
      <c:rotX val="15"/>
      <c:rotY val="20"/>
      <c:depthPercent val="100"/>
      <c:rAngAx val="1"/>
    </c:view3D>
    <c:plotArea>
      <c:layout/>
      <c:bar3DChart>
        <c:barDir val="col"/>
        <c:grouping val="clustered"/>
        <c:ser>
          <c:idx val="0"/>
          <c:order val="0"/>
          <c:tx>
            <c:strRef>
              <c:f>EDA!$S$5</c:f>
            </c:strRef>
          </c:tx>
          <c:spPr>
            <a:solidFill>
              <a:srgbClr val="93C47D"/>
            </a:solidFill>
            <a:ln cmpd="sng">
              <a:solidFill>
                <a:srgbClr val="000000"/>
              </a:solidFill>
            </a:ln>
          </c:spPr>
          <c:dLbls>
            <c:numFmt formatCode="General" sourceLinked="1"/>
            <c:txPr>
              <a:bodyPr/>
              <a:lstStyle/>
              <a:p>
                <a:pPr lvl="0">
                  <a:defRPr b="1" sz="1600">
                    <a:solidFill>
                      <a:srgbClr val="000000"/>
                    </a:solidFill>
                    <a:latin typeface="sans-serif"/>
                  </a:defRPr>
                </a:pPr>
              </a:p>
            </c:txPr>
            <c:showLegendKey val="0"/>
            <c:showVal val="1"/>
            <c:showCatName val="0"/>
            <c:showSerName val="0"/>
            <c:showPercent val="0"/>
            <c:showBubbleSize val="0"/>
          </c:dLbls>
          <c:cat>
            <c:strRef>
              <c:f>EDA!$R$6:$R$9</c:f>
            </c:strRef>
          </c:cat>
          <c:val>
            <c:numRef>
              <c:f>EDA!$S$6:$S$9</c:f>
              <c:numCache/>
            </c:numRef>
          </c:val>
        </c:ser>
        <c:axId val="476767878"/>
        <c:axId val="831559495"/>
      </c:bar3DChart>
      <c:catAx>
        <c:axId val="4767678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Категорії курсів</a:t>
                </a:r>
              </a:p>
            </c:rich>
          </c:tx>
          <c:overlay val="0"/>
        </c:title>
        <c:numFmt formatCode="General" sourceLinked="1"/>
        <c:majorTickMark val="none"/>
        <c:minorTickMark val="none"/>
        <c:spPr/>
        <c:txPr>
          <a:bodyPr/>
          <a:lstStyle/>
          <a:p>
            <a:pPr lvl="0">
              <a:defRPr b="1">
                <a:solidFill>
                  <a:srgbClr val="000000"/>
                </a:solidFill>
                <a:latin typeface="+mn-lt"/>
              </a:defRPr>
            </a:pPr>
          </a:p>
        </c:txPr>
        <c:crossAx val="831559495"/>
      </c:catAx>
      <c:valAx>
        <c:axId val="8315594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Середній рейтинг</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6767878"/>
      </c:valAx>
    </c:plotArea>
    <c:legend>
      <c:legendPos val="r"/>
      <c:overlay val="0"/>
      <c:txPr>
        <a:bodyPr/>
        <a:lstStyle/>
        <a:p>
          <a:pPr lvl="0">
            <a:defRPr b="1" sz="1600">
              <a:solidFill>
                <a:srgbClr val="1A1A1A"/>
              </a:solidFill>
              <a:latin typeface="+mn-lt"/>
            </a:defRPr>
          </a:pPr>
        </a:p>
      </c:txPr>
    </c:legend>
    <c:plotVisOnly val="1"/>
  </c:chart>
  <c:spPr>
    <a:solidFill>
      <a:schemeClr val="lt1"/>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Arial black"/>
              </a:defRPr>
            </a:pPr>
            <a:r>
              <a:rPr b="1" sz="1600">
                <a:solidFill>
                  <a:srgbClr val="000000"/>
                </a:solidFill>
                <a:latin typeface="Arial black"/>
              </a:rPr>
              <a:t>Розподіл користувачів за пристроями</a:t>
            </a:r>
          </a:p>
        </c:rich>
      </c:tx>
      <c:overlay val="0"/>
    </c:title>
    <c:plotArea>
      <c:layout/>
      <c:pieChart>
        <c:varyColors val="1"/>
        <c:ser>
          <c:idx val="0"/>
          <c:order val="0"/>
          <c:tx>
            <c:strRef>
              <c:f>EDA!$V$5</c:f>
            </c:strRef>
          </c:tx>
          <c:dPt>
            <c:idx val="0"/>
            <c:spPr>
              <a:solidFill>
                <a:srgbClr val="93C47D"/>
              </a:solidFill>
            </c:spPr>
          </c:dPt>
          <c:dPt>
            <c:idx val="1"/>
            <c:spPr>
              <a:solidFill>
                <a:srgbClr val="8E7CC3"/>
              </a:solidFill>
            </c:spPr>
          </c:dPt>
          <c:dPt>
            <c:idx val="2"/>
            <c:spPr>
              <a:solidFill>
                <a:srgbClr val="F4CCCC"/>
              </a:solidFill>
            </c:spPr>
          </c:dPt>
          <c:dLbls>
            <c:showLegendKey val="0"/>
            <c:showVal val="0"/>
            <c:showCatName val="0"/>
            <c:showSerName val="0"/>
            <c:showPercent val="1"/>
            <c:showBubbleSize val="0"/>
            <c:showLeaderLines val="1"/>
          </c:dLbls>
          <c:cat>
            <c:strRef>
              <c:f>EDA!$U$6:$U$8</c:f>
            </c:strRef>
          </c:cat>
          <c:val>
            <c:numRef>
              <c:f>EDA!$V$6:$V$8</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a:solidFill>
                <a:srgbClr val="000000"/>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Arial black"/>
              </a:defRPr>
            </a:pPr>
            <a:r>
              <a:rPr b="1" sz="1600">
                <a:solidFill>
                  <a:srgbClr val="000000"/>
                </a:solidFill>
                <a:latin typeface="Arial black"/>
              </a:rPr>
              <a:t>Топ країни за кількістю студентів</a:t>
            </a:r>
          </a:p>
        </c:rich>
      </c:tx>
      <c:overlay val="0"/>
    </c:title>
    <c:view3D>
      <c:rotX val="15"/>
      <c:rotY val="20"/>
      <c:depthPercent val="100"/>
      <c:rAngAx val="1"/>
    </c:view3D>
    <c:plotArea>
      <c:layout/>
      <c:bar3DChart>
        <c:barDir val="bar"/>
        <c:grouping val="clustered"/>
        <c:ser>
          <c:idx val="0"/>
          <c:order val="0"/>
          <c:tx>
            <c:strRef>
              <c:f>EDA!$R$31</c:f>
            </c:strRef>
          </c:tx>
          <c:spPr>
            <a:solidFill>
              <a:srgbClr val="93C47D"/>
            </a:solidFill>
            <a:ln cmpd="sng">
              <a:solidFill>
                <a:srgbClr val="000000"/>
              </a:solidFill>
            </a:ln>
          </c:spPr>
          <c:dLbls>
            <c:numFmt formatCode="General" sourceLinked="1"/>
            <c:txPr>
              <a:bodyPr/>
              <a:lstStyle/>
              <a:p>
                <a:pPr lvl="0">
                  <a:defRPr b="1">
                    <a:latin typeface="Arial black"/>
                  </a:defRPr>
                </a:pPr>
              </a:p>
            </c:txPr>
            <c:showLegendKey val="0"/>
            <c:showVal val="1"/>
            <c:showCatName val="0"/>
            <c:showSerName val="0"/>
            <c:showPercent val="0"/>
            <c:showBubbleSize val="0"/>
          </c:dLbls>
          <c:errBars>
            <c:errDir val="y"/>
            <c:errBarType val="both"/>
            <c:errValType val="percentage"/>
            <c:noEndCap val="0"/>
            <c:val val="10.0"/>
          </c:errBars>
          <c:cat>
            <c:strRef>
              <c:f>EDA!$Q$32:$Q$36</c:f>
            </c:strRef>
          </c:cat>
          <c:val>
            <c:numRef>
              <c:f>EDA!$R$32:$R$36</c:f>
              <c:numCache/>
            </c:numRef>
          </c:val>
        </c:ser>
        <c:axId val="1044110815"/>
        <c:axId val="793922861"/>
      </c:bar3DChart>
      <c:catAx>
        <c:axId val="104411081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country</a:t>
                </a:r>
              </a:p>
            </c:rich>
          </c:tx>
          <c:overlay val="0"/>
        </c:title>
        <c:numFmt formatCode="General" sourceLinked="1"/>
        <c:majorTickMark val="none"/>
        <c:minorTickMark val="none"/>
        <c:spPr/>
        <c:txPr>
          <a:bodyPr/>
          <a:lstStyle/>
          <a:p>
            <a:pPr lvl="0">
              <a:defRPr b="1">
                <a:solidFill>
                  <a:srgbClr val="000000"/>
                </a:solidFill>
                <a:latin typeface="+mn-lt"/>
              </a:defRPr>
            </a:pPr>
          </a:p>
        </c:txPr>
        <c:crossAx val="793922861"/>
      </c:catAx>
      <c:valAx>
        <c:axId val="79392286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users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4110815"/>
        <c:crosses val="max"/>
      </c:valAx>
    </c:plotArea>
    <c:legend>
      <c:legendPos val="b"/>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Arial black"/>
              </a:defRPr>
            </a:pPr>
            <a:r>
              <a:rPr b="1" sz="1600">
                <a:solidFill>
                  <a:srgbClr val="000000"/>
                </a:solidFill>
                <a:latin typeface="Arial black"/>
              </a:rPr>
              <a:t>Середній відсоток завершення курсів у кожній категорії</a:t>
            </a:r>
          </a:p>
        </c:rich>
      </c:tx>
      <c:overlay val="0"/>
    </c:title>
    <c:view3D>
      <c:rotX val="15"/>
      <c:rotY val="20"/>
      <c:depthPercent val="100"/>
      <c:rAngAx val="1"/>
    </c:view3D>
    <c:plotArea>
      <c:layout/>
      <c:bar3DChart>
        <c:barDir val="col"/>
        <c:grouping val="clustered"/>
        <c:ser>
          <c:idx val="0"/>
          <c:order val="0"/>
          <c:tx>
            <c:strRef>
              <c:f>EDA!$V$31</c:f>
            </c:strRef>
          </c:tx>
          <c:spPr>
            <a:solidFill>
              <a:srgbClr val="B4A7D6"/>
            </a:solidFill>
            <a:ln cmpd="sng">
              <a:solidFill>
                <a:srgbClr val="000000"/>
              </a:solidFill>
            </a:ln>
          </c:spPr>
          <c:dPt>
            <c:idx val="0"/>
            <c:spPr>
              <a:solidFill>
                <a:srgbClr val="B6D7A8"/>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EDA!$U$32:$U$35</c:f>
            </c:strRef>
          </c:cat>
          <c:val>
            <c:numRef>
              <c:f>EDA!$V$32:$V$35</c:f>
              <c:numCache/>
            </c:numRef>
          </c:val>
        </c:ser>
        <c:axId val="1078438790"/>
        <c:axId val="1002613646"/>
      </c:bar3DChart>
      <c:catAx>
        <c:axId val="10784387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course_category</a:t>
                </a:r>
              </a:p>
            </c:rich>
          </c:tx>
          <c:overlay val="0"/>
        </c:title>
        <c:numFmt formatCode="General" sourceLinked="1"/>
        <c:majorTickMark val="none"/>
        <c:minorTickMark val="none"/>
        <c:spPr/>
        <c:txPr>
          <a:bodyPr/>
          <a:lstStyle/>
          <a:p>
            <a:pPr lvl="0">
              <a:defRPr b="1">
                <a:solidFill>
                  <a:srgbClr val="000000"/>
                </a:solidFill>
                <a:latin typeface="+mn-lt"/>
              </a:defRPr>
            </a:pPr>
          </a:p>
        </c:txPr>
        <c:crossAx val="1002613646"/>
      </c:catAx>
      <c:valAx>
        <c:axId val="10026136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completion_rate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78438790"/>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000000"/>
                </a:solidFill>
                <a:latin typeface="Arial black"/>
              </a:defRPr>
            </a:pPr>
            <a:r>
              <a:rPr b="1" sz="1600">
                <a:solidFill>
                  <a:srgbClr val="000000"/>
                </a:solidFill>
                <a:latin typeface="Arial black"/>
              </a:rPr>
              <a:t>Взаємозв’язок між середнім рейтингом курсу та середнім відсотком завершення курсів</a:t>
            </a:r>
          </a:p>
        </c:rich>
      </c:tx>
      <c:overlay val="0"/>
    </c:title>
    <c:plotArea>
      <c:layout/>
      <c:barChart>
        <c:barDir val="col"/>
        <c:ser>
          <c:idx val="0"/>
          <c:order val="0"/>
          <c:tx>
            <c:strRef>
              <c:f>Dashboard!$K$30</c:f>
            </c:strRef>
          </c:tx>
          <c:spPr>
            <a:solidFill>
              <a:srgbClr val="B4A7D6"/>
            </a:solidFill>
            <a:ln cmpd="sng">
              <a:solidFill>
                <a:srgbClr val="000000"/>
              </a:solidFill>
            </a:ln>
          </c:spPr>
          <c:dPt>
            <c:idx val="0"/>
          </c:dPt>
          <c:dPt>
            <c:idx val="1"/>
          </c:dPt>
          <c:cat>
            <c:strRef>
              <c:f>Dashboard!$J$31:$J$34</c:f>
            </c:strRef>
          </c:cat>
          <c:val>
            <c:numRef>
              <c:f>Dashboard!$K$31:$K$34</c:f>
              <c:numCache/>
            </c:numRef>
          </c:val>
        </c:ser>
        <c:axId val="284799381"/>
        <c:axId val="553859790"/>
      </c:barChart>
      <c:catAx>
        <c:axId val="2847993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course_category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553859790"/>
      </c:catAx>
      <c:valAx>
        <c:axId val="5538597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4799381"/>
      </c:valAx>
      <c:lineChart>
        <c:varyColors val="0"/>
        <c:ser>
          <c:idx val="1"/>
          <c:order val="1"/>
          <c:tx>
            <c:strRef>
              <c:f>Dashboard!$L$30</c:f>
            </c:strRef>
          </c:tx>
          <c:spPr>
            <a:ln cmpd="sng">
              <a:solidFill>
                <a:srgbClr val="EA4335"/>
              </a:solidFill>
            </a:ln>
          </c:spPr>
          <c:marker>
            <c:symbol val="none"/>
          </c:marker>
          <c:cat>
            <c:strRef>
              <c:f>Dashboard!$J$31:$J$34</c:f>
            </c:strRef>
          </c:cat>
          <c:val>
            <c:numRef>
              <c:f>Dashboard!$L$31:$L$34</c:f>
              <c:numCache/>
            </c:numRef>
          </c:val>
          <c:smooth val="0"/>
        </c:ser>
        <c:axId val="642311006"/>
        <c:axId val="1015081109"/>
      </c:lineChart>
      <c:catAx>
        <c:axId val="642311006"/>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015081109"/>
      </c:catAx>
      <c:valAx>
        <c:axId val="1015081109"/>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42311006"/>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6.png"/><Relationship Id="rId5"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1143000</xdr:colOff>
      <xdr:row>9</xdr:row>
      <xdr:rowOff>0</xdr:rowOff>
    </xdr:from>
    <xdr:ext cx="6324600" cy="38100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20</xdr:col>
      <xdr:colOff>0</xdr:colOff>
      <xdr:row>8</xdr:row>
      <xdr:rowOff>19050</xdr:rowOff>
    </xdr:from>
    <xdr:ext cx="5838825" cy="39909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0</xdr:colOff>
      <xdr:row>36</xdr:row>
      <xdr:rowOff>19050</xdr:rowOff>
    </xdr:from>
    <xdr:ext cx="6267450" cy="29527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20</xdr:col>
      <xdr:colOff>0</xdr:colOff>
      <xdr:row>35</xdr:row>
      <xdr:rowOff>66675</xdr:rowOff>
    </xdr:from>
    <xdr:ext cx="5867400" cy="31051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323850</xdr:rowOff>
    </xdr:from>
    <xdr:ext cx="5362575" cy="2657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15</xdr:row>
      <xdr:rowOff>257175</xdr:rowOff>
    </xdr:from>
    <xdr:ext cx="5419725" cy="33051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32</xdr:row>
      <xdr:rowOff>9525</xdr:rowOff>
    </xdr:from>
    <xdr:ext cx="5362575" cy="284797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46</xdr:row>
      <xdr:rowOff>247650</xdr:rowOff>
    </xdr:from>
    <xdr:ext cx="5362575" cy="2419350"/>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xdr:colOff>
      <xdr:row>37</xdr:row>
      <xdr:rowOff>152400</xdr:rowOff>
    </xdr:from>
    <xdr:ext cx="10572750" cy="363855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152400</xdr:colOff>
      <xdr:row>7</xdr:row>
      <xdr:rowOff>152400</xdr:rowOff>
    </xdr:from>
    <xdr:ext cx="4819650" cy="29146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962025</xdr:colOff>
      <xdr:row>13</xdr:row>
      <xdr:rowOff>180975</xdr:rowOff>
    </xdr:from>
    <xdr:ext cx="6324600" cy="279082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38100</xdr:colOff>
      <xdr:row>26</xdr:row>
      <xdr:rowOff>180975</xdr:rowOff>
    </xdr:from>
    <xdr:ext cx="3895725" cy="243840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9525</xdr:colOff>
      <xdr:row>21</xdr:row>
      <xdr:rowOff>190500</xdr:rowOff>
    </xdr:from>
    <xdr:ext cx="4019550" cy="2914650"/>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E1:G601" sheet="Raw Data"/>
  </cacheSource>
  <cacheFields>
    <cacheField name="course_category" numFmtId="0">
      <sharedItems>
        <s v="Design"/>
        <s v="Business"/>
        <s v="Data Science"/>
        <s v="Marketing"/>
      </sharedItems>
    </cacheField>
    <cacheField name="course_rating" numFmtId="4">
      <sharedItems containsSemiMixedTypes="0" containsString="0" containsNumber="1">
        <n v="0.2"/>
        <n v="2.0"/>
        <n v="0.3"/>
        <n v="3.3"/>
        <n v="0.6"/>
        <n v="3.0"/>
        <n v="3.6"/>
        <n v="0.5"/>
        <n v="4.7"/>
        <n v="4.4"/>
        <n v="2.6"/>
        <n v="0.8"/>
        <n v="0.1"/>
        <n v="4.5"/>
        <n v="3.5"/>
        <n v="4.6"/>
        <n v="1.8"/>
        <n v="0.0"/>
        <n v="2.2"/>
        <n v="1.7"/>
        <n v="3.1"/>
        <n v="2.7"/>
        <n v="4.0"/>
        <n v="3.7"/>
        <n v="2.9"/>
        <n v="1.0"/>
        <n v="1.4"/>
        <n v="1.2"/>
        <n v="4.3"/>
        <n v="2.1"/>
        <n v="3.4"/>
        <n v="1.9"/>
        <n v="2.3"/>
        <n v="0.4"/>
        <n v="4.2"/>
        <n v="0.7"/>
        <n v="1.5"/>
        <n v="4.8"/>
        <n v="1.1"/>
        <n v="0.9"/>
        <n v="2.5"/>
        <n v="1.6"/>
        <n v="3.9"/>
        <n v="2.8"/>
        <n v="3.8"/>
        <n v="4.1"/>
        <n v="4.9"/>
        <n v="3.2"/>
        <n v="5.0"/>
        <n v="2.4"/>
        <n v="1.3"/>
      </sharedItems>
    </cacheField>
    <cacheField name="progress_percent" numFmtId="4">
      <sharedItems containsString="0" containsBlank="1" containsNumber="1" containsInteger="1">
        <n v="14.0"/>
        <n v="32.0"/>
        <n v="16.0"/>
        <n v="78.0"/>
        <n v="36.0"/>
        <n v="81.0"/>
        <n v="57.0"/>
        <n v="11.0"/>
        <n v="76.0"/>
        <n v="49.0"/>
        <n v="5.0"/>
        <n v="2.0"/>
        <n v="8.0"/>
        <n v="27.0"/>
        <n v="48.0"/>
        <n v="15.0"/>
        <n v="71.0"/>
        <n v="28.0"/>
        <n v="66.0"/>
        <n v="51.0"/>
        <n v="47.0"/>
        <n v="26.0"/>
        <n v="60.0"/>
        <n v="40.0"/>
        <n v="56.0"/>
        <n v="69.0"/>
        <n v="63.0"/>
        <n v="82.0"/>
        <n v="44.0"/>
        <n v="23.0"/>
        <n v="4.0"/>
        <n v="59.0"/>
        <n v="77.0"/>
        <n v="17.0"/>
        <n v="91.0"/>
        <n v="7.0"/>
        <n v="50.0"/>
        <n v="10.0"/>
        <n v="24.0"/>
        <n v="1.0"/>
        <n v="68.0"/>
        <n v="41.0"/>
        <n v="87.0"/>
        <n v="29.0"/>
        <n v="74.0"/>
        <n v="12.0"/>
        <n v="95.0"/>
        <n v="85.0"/>
        <n v="98.0"/>
        <n v="92.0"/>
        <n v="46.0"/>
        <n v="38.0"/>
        <n v="6.0"/>
        <n v="58.0"/>
        <n v="80.0"/>
        <n v="30.0"/>
        <n v="20.0"/>
        <n v="84.0"/>
        <n v="45.0"/>
        <n v="90.0"/>
        <n v="9.0"/>
        <n v="67.0"/>
        <n v="22.0"/>
        <n v="83.0"/>
        <n v="53.0"/>
        <n v="18.0"/>
        <n v="88.0"/>
        <n v="42.0"/>
        <n v="33.0"/>
        <n v="99.0"/>
        <n v="19.0"/>
        <n v="100.0"/>
        <n v="79.0"/>
        <n v="52.0"/>
        <n v="39.0"/>
        <n v="65.0"/>
        <n v="31.0"/>
        <n v="35.0"/>
        <n v="94.0"/>
        <n v="21.0"/>
        <n v="54.0"/>
        <n v="97.0"/>
        <n v="72.0"/>
        <n v="55.0"/>
        <n v="64.0"/>
        <n v="43.0"/>
        <n v="61.0"/>
        <n v="96.0"/>
        <n v="13.0"/>
        <n v="75.0"/>
        <n v="3.0"/>
        <n v="34.0"/>
        <n v="89.0"/>
        <n v="25.0"/>
        <n v="73.0"/>
        <n v="37.0"/>
        <n v="86.0"/>
        <n v="70.0"/>
        <n v="62.0"/>
        <n v="93.0"/>
        <n v="0.0"/>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shboard" cacheId="0" dataCaption="" compact="0" compactData="0">
  <location ref="J30:L35" firstHeaderRow="0" firstDataRow="2" firstDataCol="0"/>
  <pivotFields>
    <pivotField name="course_category" axis="axisRow" compact="0" outline="0" multipleItemSelectionAllowed="1" showAll="0" sortType="ascending">
      <items>
        <item x="1"/>
        <item x="2"/>
        <item x="0"/>
        <item x="3"/>
        <item t="default"/>
      </items>
    </pivotField>
    <pivotField name="course_rating"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progress_percent"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s>
  <rowFields>
    <field x="0"/>
  </rowFields>
  <colFields>
    <field x="-2"/>
  </colFields>
  <dataFields>
    <dataField name="AVERAGE of course_rating" fld="1" subtotal="average" baseField="0"/>
    <dataField name="AVERAGE of progress_percent" fld="2"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19.0"/>
    <col customWidth="1" min="6" max="6" width="14.25"/>
    <col customWidth="1" min="7" max="7" width="17.38"/>
    <col customWidth="1" min="8" max="8" width="15.38"/>
    <col customWidth="1" min="9" max="9" width="16.75"/>
    <col customWidth="1" min="10" max="10" width="14.38"/>
    <col customWidth="1" min="11" max="11" width="11.25"/>
    <col customWidth="1" min="12" max="12" width="16.75"/>
  </cols>
  <sheetData>
    <row r="1">
      <c r="A1" s="1" t="s">
        <v>0</v>
      </c>
      <c r="B1" s="1" t="s">
        <v>1</v>
      </c>
      <c r="C1" s="1" t="s">
        <v>2</v>
      </c>
      <c r="D1" s="1" t="s">
        <v>3</v>
      </c>
      <c r="E1" s="1" t="s">
        <v>4</v>
      </c>
      <c r="F1" s="2" t="s">
        <v>5</v>
      </c>
      <c r="G1" s="2" t="s">
        <v>6</v>
      </c>
      <c r="H1" s="1" t="s">
        <v>7</v>
      </c>
      <c r="I1" s="2" t="s">
        <v>8</v>
      </c>
      <c r="J1" s="1" t="s">
        <v>9</v>
      </c>
      <c r="K1" s="1" t="s">
        <v>10</v>
      </c>
      <c r="L1" s="1" t="s">
        <v>11</v>
      </c>
    </row>
    <row r="2">
      <c r="A2" s="3" t="s">
        <v>12</v>
      </c>
      <c r="B2" s="3" t="s">
        <v>13</v>
      </c>
      <c r="C2" s="4">
        <v>45115.0</v>
      </c>
      <c r="D2" s="4">
        <v>45127.0</v>
      </c>
      <c r="E2" s="3" t="s">
        <v>14</v>
      </c>
      <c r="F2" s="5">
        <v>0.2</v>
      </c>
      <c r="G2" s="5">
        <v>14.0</v>
      </c>
      <c r="H2" s="6">
        <v>0.0</v>
      </c>
      <c r="I2" s="5">
        <v>30.0</v>
      </c>
      <c r="J2" s="3" t="s">
        <v>15</v>
      </c>
      <c r="K2" s="3" t="s">
        <v>16</v>
      </c>
      <c r="L2" s="6">
        <v>1.0</v>
      </c>
      <c r="N2" s="7">
        <f>COUNTA(A:A)</f>
        <v>601</v>
      </c>
    </row>
    <row r="3">
      <c r="A3" s="3" t="s">
        <v>17</v>
      </c>
      <c r="B3" s="3" t="s">
        <v>18</v>
      </c>
      <c r="C3" s="4">
        <v>45079.0</v>
      </c>
      <c r="D3" s="4">
        <v>45091.0</v>
      </c>
      <c r="E3" s="3" t="s">
        <v>14</v>
      </c>
      <c r="F3" s="5">
        <v>2.0</v>
      </c>
      <c r="G3" s="5">
        <v>32.0</v>
      </c>
      <c r="H3" s="6">
        <v>0.0</v>
      </c>
      <c r="I3" s="5">
        <v>48.0</v>
      </c>
      <c r="J3" s="3" t="s">
        <v>19</v>
      </c>
      <c r="K3" s="3" t="s">
        <v>16</v>
      </c>
      <c r="L3" s="6">
        <v>1.0</v>
      </c>
    </row>
    <row r="4">
      <c r="A4" s="3" t="s">
        <v>20</v>
      </c>
      <c r="B4" s="3" t="s">
        <v>21</v>
      </c>
      <c r="C4" s="4">
        <v>45028.0</v>
      </c>
      <c r="D4" s="4">
        <v>45040.0</v>
      </c>
      <c r="E4" s="3" t="s">
        <v>22</v>
      </c>
      <c r="F4" s="5">
        <v>0.3</v>
      </c>
      <c r="G4" s="5">
        <v>16.0</v>
      </c>
      <c r="H4" s="6">
        <v>1.0</v>
      </c>
      <c r="I4" s="5">
        <v>34.0</v>
      </c>
      <c r="J4" s="3" t="s">
        <v>23</v>
      </c>
      <c r="K4" s="3" t="s">
        <v>16</v>
      </c>
      <c r="L4" s="6">
        <v>0.0</v>
      </c>
    </row>
    <row r="5">
      <c r="A5" s="3" t="s">
        <v>24</v>
      </c>
      <c r="B5" s="3" t="s">
        <v>25</v>
      </c>
      <c r="C5" s="4">
        <v>45031.0</v>
      </c>
      <c r="D5" s="4">
        <v>45043.0</v>
      </c>
      <c r="E5" s="3" t="s">
        <v>14</v>
      </c>
      <c r="F5" s="5">
        <v>3.3</v>
      </c>
      <c r="G5" s="5">
        <v>78.0</v>
      </c>
      <c r="H5" s="6">
        <v>1.0</v>
      </c>
      <c r="I5" s="5">
        <v>39.0</v>
      </c>
      <c r="J5" s="3" t="s">
        <v>15</v>
      </c>
      <c r="K5" s="3" t="s">
        <v>26</v>
      </c>
      <c r="L5" s="6">
        <v>0.0</v>
      </c>
    </row>
    <row r="6">
      <c r="A6" s="3" t="s">
        <v>27</v>
      </c>
      <c r="B6" s="3" t="s">
        <v>28</v>
      </c>
      <c r="C6" s="4">
        <v>45107.0</v>
      </c>
      <c r="D6" s="4">
        <v>45119.0</v>
      </c>
      <c r="E6" s="3" t="s">
        <v>29</v>
      </c>
      <c r="F6" s="5">
        <v>0.6</v>
      </c>
      <c r="G6" s="5">
        <v>36.0</v>
      </c>
      <c r="H6" s="6">
        <v>0.0</v>
      </c>
      <c r="I6" s="5">
        <v>40.0</v>
      </c>
      <c r="J6" s="3" t="s">
        <v>15</v>
      </c>
      <c r="K6" s="3" t="s">
        <v>26</v>
      </c>
      <c r="L6" s="6">
        <v>0.0</v>
      </c>
    </row>
    <row r="7">
      <c r="A7" s="3" t="s">
        <v>30</v>
      </c>
      <c r="B7" s="3" t="s">
        <v>31</v>
      </c>
      <c r="C7" s="4">
        <v>44980.0</v>
      </c>
      <c r="D7" s="4">
        <v>44992.0</v>
      </c>
      <c r="E7" s="3" t="s">
        <v>14</v>
      </c>
      <c r="F7" s="5">
        <v>3.0</v>
      </c>
      <c r="G7" s="5">
        <v>81.0</v>
      </c>
      <c r="H7" s="6">
        <v>0.0</v>
      </c>
      <c r="I7" s="5">
        <v>44.0</v>
      </c>
      <c r="J7" s="3" t="s">
        <v>32</v>
      </c>
      <c r="K7" s="3" t="s">
        <v>26</v>
      </c>
      <c r="L7" s="6">
        <v>1.0</v>
      </c>
    </row>
    <row r="8">
      <c r="A8" s="3" t="s">
        <v>33</v>
      </c>
      <c r="B8" s="3" t="s">
        <v>34</v>
      </c>
      <c r="C8" s="4">
        <v>45281.0</v>
      </c>
      <c r="D8" s="4">
        <v>45293.0</v>
      </c>
      <c r="E8" s="3" t="s">
        <v>22</v>
      </c>
      <c r="F8" s="5">
        <v>3.6</v>
      </c>
      <c r="G8" s="5">
        <v>57.0</v>
      </c>
      <c r="H8" s="6">
        <v>1.0</v>
      </c>
      <c r="I8" s="5">
        <v>25.0</v>
      </c>
      <c r="J8" s="3" t="s">
        <v>35</v>
      </c>
      <c r="K8" s="3" t="s">
        <v>26</v>
      </c>
      <c r="L8" s="6">
        <v>1.0</v>
      </c>
    </row>
    <row r="9">
      <c r="A9" s="3" t="s">
        <v>36</v>
      </c>
      <c r="B9" s="3" t="s">
        <v>37</v>
      </c>
      <c r="C9" s="4">
        <v>45088.0</v>
      </c>
      <c r="D9" s="4">
        <v>45100.0</v>
      </c>
      <c r="E9" s="3" t="s">
        <v>38</v>
      </c>
      <c r="F9" s="5">
        <v>0.5</v>
      </c>
      <c r="G9" s="5">
        <v>11.0</v>
      </c>
      <c r="H9" s="6">
        <v>0.0</v>
      </c>
      <c r="I9" s="5">
        <v>43.0</v>
      </c>
      <c r="J9" s="3" t="s">
        <v>19</v>
      </c>
      <c r="K9" s="3" t="s">
        <v>26</v>
      </c>
      <c r="L9" s="6">
        <v>1.0</v>
      </c>
    </row>
    <row r="10">
      <c r="A10" s="3" t="s">
        <v>39</v>
      </c>
      <c r="B10" s="3" t="s">
        <v>40</v>
      </c>
      <c r="C10" s="4">
        <v>45068.0</v>
      </c>
      <c r="D10" s="4">
        <v>45080.0</v>
      </c>
      <c r="E10" s="3" t="s">
        <v>38</v>
      </c>
      <c r="F10" s="5">
        <v>4.7</v>
      </c>
      <c r="G10" s="5">
        <v>76.0</v>
      </c>
      <c r="H10" s="6">
        <v>1.0</v>
      </c>
      <c r="I10" s="5">
        <v>17.0</v>
      </c>
      <c r="J10" s="3" t="s">
        <v>32</v>
      </c>
      <c r="K10" s="3" t="s">
        <v>26</v>
      </c>
      <c r="L10" s="6">
        <v>1.0</v>
      </c>
    </row>
    <row r="11">
      <c r="A11" s="3" t="s">
        <v>41</v>
      </c>
      <c r="B11" s="3" t="s">
        <v>42</v>
      </c>
      <c r="C11" s="4">
        <v>44939.0</v>
      </c>
      <c r="D11" s="4">
        <v>44951.0</v>
      </c>
      <c r="E11" s="3" t="s">
        <v>38</v>
      </c>
      <c r="F11" s="5">
        <v>4.4</v>
      </c>
      <c r="G11" s="5">
        <v>49.0</v>
      </c>
      <c r="H11" s="6">
        <v>1.0</v>
      </c>
      <c r="I11" s="5">
        <v>31.0</v>
      </c>
      <c r="J11" s="3" t="s">
        <v>23</v>
      </c>
      <c r="K11" s="3" t="s">
        <v>16</v>
      </c>
      <c r="L11" s="6">
        <v>0.0</v>
      </c>
    </row>
    <row r="12">
      <c r="A12" s="3" t="s">
        <v>43</v>
      </c>
      <c r="B12" s="3" t="s">
        <v>44</v>
      </c>
      <c r="C12" s="4">
        <v>45128.0</v>
      </c>
      <c r="D12" s="4">
        <v>45140.0</v>
      </c>
      <c r="E12" s="3" t="s">
        <v>38</v>
      </c>
      <c r="F12" s="5">
        <v>2.6</v>
      </c>
      <c r="G12" s="5">
        <v>5.0</v>
      </c>
      <c r="H12" s="6">
        <v>0.0</v>
      </c>
      <c r="I12" s="5">
        <v>35.0</v>
      </c>
      <c r="J12" s="3" t="s">
        <v>35</v>
      </c>
      <c r="K12" s="3" t="s">
        <v>16</v>
      </c>
      <c r="L12" s="6">
        <v>1.0</v>
      </c>
    </row>
    <row r="13">
      <c r="A13" s="3" t="s">
        <v>45</v>
      </c>
      <c r="B13" s="3" t="s">
        <v>46</v>
      </c>
      <c r="C13" s="4">
        <v>45212.0</v>
      </c>
      <c r="D13" s="4">
        <v>45224.0</v>
      </c>
      <c r="E13" s="3" t="s">
        <v>38</v>
      </c>
      <c r="F13" s="5">
        <v>0.8</v>
      </c>
      <c r="G13" s="5">
        <v>2.0</v>
      </c>
      <c r="H13" s="6">
        <v>1.0</v>
      </c>
      <c r="I13" s="5">
        <v>36.0</v>
      </c>
      <c r="J13" s="3" t="s">
        <v>19</v>
      </c>
      <c r="K13" s="3" t="s">
        <v>47</v>
      </c>
      <c r="L13" s="6">
        <v>0.0</v>
      </c>
    </row>
    <row r="14">
      <c r="A14" s="3" t="s">
        <v>48</v>
      </c>
      <c r="B14" s="3" t="s">
        <v>49</v>
      </c>
      <c r="C14" s="4">
        <v>45195.0</v>
      </c>
      <c r="D14" s="4">
        <v>45207.0</v>
      </c>
      <c r="E14" s="3" t="s">
        <v>38</v>
      </c>
      <c r="F14" s="5">
        <v>0.1</v>
      </c>
      <c r="G14" s="5">
        <v>8.0</v>
      </c>
      <c r="H14" s="6">
        <v>1.0</v>
      </c>
      <c r="I14" s="5">
        <v>15.0</v>
      </c>
      <c r="J14" s="3" t="s">
        <v>15</v>
      </c>
      <c r="K14" s="3" t="s">
        <v>26</v>
      </c>
      <c r="L14" s="6">
        <v>0.0</v>
      </c>
    </row>
    <row r="15">
      <c r="A15" s="3" t="s">
        <v>50</v>
      </c>
      <c r="B15" s="3" t="s">
        <v>51</v>
      </c>
      <c r="C15" s="4">
        <v>45110.0</v>
      </c>
      <c r="D15" s="4">
        <v>45122.0</v>
      </c>
      <c r="E15" s="3" t="s">
        <v>29</v>
      </c>
      <c r="F15" s="5">
        <v>4.5</v>
      </c>
      <c r="G15" s="5">
        <v>27.0</v>
      </c>
      <c r="H15" s="6">
        <v>1.0</v>
      </c>
      <c r="I15" s="5">
        <v>46.0</v>
      </c>
      <c r="J15" s="3" t="s">
        <v>15</v>
      </c>
      <c r="K15" s="3" t="s">
        <v>26</v>
      </c>
      <c r="L15" s="6">
        <v>1.0</v>
      </c>
    </row>
    <row r="16">
      <c r="A16" s="3" t="s">
        <v>52</v>
      </c>
      <c r="B16" s="3" t="s">
        <v>53</v>
      </c>
      <c r="C16" s="4">
        <v>44975.0</v>
      </c>
      <c r="D16" s="4">
        <v>44987.0</v>
      </c>
      <c r="E16" s="3" t="s">
        <v>38</v>
      </c>
      <c r="F16" s="5">
        <v>3.5</v>
      </c>
      <c r="G16" s="5">
        <v>48.0</v>
      </c>
      <c r="H16" s="6">
        <v>1.0</v>
      </c>
      <c r="I16" s="5">
        <v>13.0</v>
      </c>
      <c r="J16" s="3" t="s">
        <v>19</v>
      </c>
      <c r="K16" s="3" t="s">
        <v>26</v>
      </c>
      <c r="L16" s="6">
        <v>0.0</v>
      </c>
    </row>
    <row r="17">
      <c r="A17" s="3" t="s">
        <v>54</v>
      </c>
      <c r="B17" s="3" t="s">
        <v>55</v>
      </c>
      <c r="C17" s="4">
        <v>45173.0</v>
      </c>
      <c r="D17" s="4">
        <v>45185.0</v>
      </c>
      <c r="E17" s="3" t="s">
        <v>38</v>
      </c>
      <c r="F17" s="5">
        <v>4.6</v>
      </c>
      <c r="G17" s="5">
        <v>15.0</v>
      </c>
      <c r="H17" s="6">
        <v>0.0</v>
      </c>
      <c r="I17" s="5">
        <v>21.0</v>
      </c>
      <c r="J17" s="3" t="s">
        <v>19</v>
      </c>
      <c r="K17" s="3" t="s">
        <v>16</v>
      </c>
      <c r="L17" s="6">
        <v>1.0</v>
      </c>
    </row>
    <row r="18">
      <c r="A18" s="3" t="s">
        <v>56</v>
      </c>
      <c r="B18" s="3" t="s">
        <v>57</v>
      </c>
      <c r="C18" s="4">
        <v>45218.0</v>
      </c>
      <c r="D18" s="4">
        <v>45230.0</v>
      </c>
      <c r="E18" s="3" t="s">
        <v>14</v>
      </c>
      <c r="F18" s="5">
        <v>1.8</v>
      </c>
      <c r="G18" s="5">
        <v>71.0</v>
      </c>
      <c r="H18" s="6">
        <v>0.0</v>
      </c>
      <c r="I18" s="5">
        <v>14.0</v>
      </c>
      <c r="J18" s="3" t="s">
        <v>23</v>
      </c>
      <c r="K18" s="3" t="s">
        <v>26</v>
      </c>
      <c r="L18" s="6">
        <v>1.0</v>
      </c>
    </row>
    <row r="19">
      <c r="A19" s="3" t="s">
        <v>58</v>
      </c>
      <c r="B19" s="3" t="s">
        <v>59</v>
      </c>
      <c r="C19" s="4">
        <v>44961.0</v>
      </c>
      <c r="D19" s="4">
        <v>44973.0</v>
      </c>
      <c r="E19" s="3" t="s">
        <v>38</v>
      </c>
      <c r="F19" s="5">
        <v>0.0</v>
      </c>
      <c r="G19" s="5">
        <v>28.0</v>
      </c>
      <c r="H19" s="6">
        <v>0.0</v>
      </c>
      <c r="I19" s="5">
        <v>56.0</v>
      </c>
      <c r="J19" s="3" t="s">
        <v>35</v>
      </c>
      <c r="K19" s="3" t="s">
        <v>16</v>
      </c>
      <c r="L19" s="6">
        <v>1.0</v>
      </c>
    </row>
    <row r="20">
      <c r="A20" s="3" t="s">
        <v>60</v>
      </c>
      <c r="B20" s="3" t="s">
        <v>61</v>
      </c>
      <c r="C20" s="4">
        <v>44985.0</v>
      </c>
      <c r="D20" s="4">
        <v>44997.0</v>
      </c>
      <c r="E20" s="3" t="s">
        <v>38</v>
      </c>
      <c r="F20" s="5">
        <v>2.2</v>
      </c>
      <c r="G20" s="5">
        <v>66.0</v>
      </c>
      <c r="H20" s="6">
        <v>1.0</v>
      </c>
      <c r="I20" s="5">
        <v>37.0</v>
      </c>
      <c r="J20" s="3" t="s">
        <v>23</v>
      </c>
      <c r="K20" s="3" t="s">
        <v>47</v>
      </c>
      <c r="L20" s="6">
        <v>1.0</v>
      </c>
    </row>
    <row r="21">
      <c r="A21" s="3" t="s">
        <v>62</v>
      </c>
      <c r="B21" s="3" t="s">
        <v>63</v>
      </c>
      <c r="C21" s="4">
        <v>45115.0</v>
      </c>
      <c r="D21" s="4">
        <v>45127.0</v>
      </c>
      <c r="E21" s="3" t="s">
        <v>29</v>
      </c>
      <c r="F21" s="5">
        <v>1.7</v>
      </c>
      <c r="G21" s="5">
        <v>51.0</v>
      </c>
      <c r="H21" s="6">
        <v>1.0</v>
      </c>
      <c r="I21" s="5">
        <v>33.0</v>
      </c>
      <c r="J21" s="3" t="s">
        <v>35</v>
      </c>
      <c r="K21" s="3" t="s">
        <v>47</v>
      </c>
      <c r="L21" s="6">
        <v>1.0</v>
      </c>
    </row>
    <row r="22">
      <c r="A22" s="3" t="s">
        <v>64</v>
      </c>
      <c r="B22" s="3" t="s">
        <v>65</v>
      </c>
      <c r="C22" s="4">
        <v>45056.0</v>
      </c>
      <c r="D22" s="4">
        <v>45068.0</v>
      </c>
      <c r="E22" s="3" t="s">
        <v>38</v>
      </c>
      <c r="F22" s="5">
        <v>3.1</v>
      </c>
      <c r="G22" s="5">
        <v>47.0</v>
      </c>
      <c r="H22" s="6">
        <v>1.0</v>
      </c>
      <c r="I22" s="5">
        <v>53.0</v>
      </c>
      <c r="J22" s="3" t="s">
        <v>32</v>
      </c>
      <c r="K22" s="3" t="s">
        <v>47</v>
      </c>
      <c r="L22" s="6">
        <v>1.0</v>
      </c>
    </row>
    <row r="23">
      <c r="A23" s="3" t="s">
        <v>66</v>
      </c>
      <c r="B23" s="3" t="s">
        <v>67</v>
      </c>
      <c r="C23" s="4">
        <v>45072.0</v>
      </c>
      <c r="D23" s="4">
        <v>45084.0</v>
      </c>
      <c r="E23" s="3" t="s">
        <v>22</v>
      </c>
      <c r="F23" s="5">
        <v>2.7</v>
      </c>
      <c r="G23" s="5">
        <v>26.0</v>
      </c>
      <c r="H23" s="6">
        <v>1.0</v>
      </c>
      <c r="I23" s="5">
        <v>26.0</v>
      </c>
      <c r="J23" s="3" t="s">
        <v>15</v>
      </c>
      <c r="K23" s="3" t="s">
        <v>26</v>
      </c>
      <c r="L23" s="6">
        <v>1.0</v>
      </c>
    </row>
    <row r="24">
      <c r="A24" s="3" t="s">
        <v>68</v>
      </c>
      <c r="B24" s="3" t="s">
        <v>69</v>
      </c>
      <c r="C24" s="4">
        <v>45098.0</v>
      </c>
      <c r="D24" s="4">
        <v>45110.0</v>
      </c>
      <c r="E24" s="3" t="s">
        <v>14</v>
      </c>
      <c r="F24" s="5">
        <v>4.0</v>
      </c>
      <c r="G24" s="5">
        <v>60.0</v>
      </c>
      <c r="H24" s="6">
        <v>1.0</v>
      </c>
      <c r="I24" s="5">
        <v>51.0</v>
      </c>
      <c r="J24" s="3" t="s">
        <v>15</v>
      </c>
      <c r="K24" s="3" t="s">
        <v>16</v>
      </c>
      <c r="L24" s="6">
        <v>0.0</v>
      </c>
    </row>
    <row r="25">
      <c r="A25" s="3" t="s">
        <v>70</v>
      </c>
      <c r="B25" s="3" t="s">
        <v>71</v>
      </c>
      <c r="C25" s="4">
        <v>45167.0</v>
      </c>
      <c r="D25" s="4">
        <v>45179.0</v>
      </c>
      <c r="E25" s="3" t="s">
        <v>22</v>
      </c>
      <c r="F25" s="5">
        <v>3.7</v>
      </c>
      <c r="G25" s="5">
        <v>40.0</v>
      </c>
      <c r="H25" s="6">
        <v>0.0</v>
      </c>
      <c r="I25" s="5">
        <v>28.0</v>
      </c>
      <c r="J25" s="3" t="s">
        <v>35</v>
      </c>
      <c r="K25" s="3" t="s">
        <v>16</v>
      </c>
      <c r="L25" s="6">
        <v>1.0</v>
      </c>
    </row>
    <row r="26">
      <c r="A26" s="3" t="s">
        <v>72</v>
      </c>
      <c r="B26" s="3" t="s">
        <v>73</v>
      </c>
      <c r="C26" s="4">
        <v>44936.0</v>
      </c>
      <c r="D26" s="4">
        <v>44948.0</v>
      </c>
      <c r="E26" s="3" t="s">
        <v>14</v>
      </c>
      <c r="F26" s="5">
        <v>2.9</v>
      </c>
      <c r="G26" s="5">
        <v>56.0</v>
      </c>
      <c r="H26" s="6">
        <v>0.0</v>
      </c>
      <c r="I26" s="5">
        <v>50.0</v>
      </c>
      <c r="J26" s="3" t="s">
        <v>15</v>
      </c>
      <c r="K26" s="3" t="s">
        <v>26</v>
      </c>
      <c r="L26" s="6">
        <v>1.0</v>
      </c>
    </row>
    <row r="27">
      <c r="A27" s="3" t="s">
        <v>74</v>
      </c>
      <c r="B27" s="3" t="s">
        <v>75</v>
      </c>
      <c r="C27" s="4">
        <v>45176.0</v>
      </c>
      <c r="D27" s="4">
        <v>45188.0</v>
      </c>
      <c r="E27" s="3" t="s">
        <v>14</v>
      </c>
      <c r="F27" s="5">
        <v>1.0</v>
      </c>
      <c r="G27" s="5">
        <v>69.0</v>
      </c>
      <c r="H27" s="6">
        <v>0.0</v>
      </c>
      <c r="I27" s="5">
        <v>19.0</v>
      </c>
      <c r="J27" s="3" t="s">
        <v>23</v>
      </c>
      <c r="K27" s="3" t="s">
        <v>47</v>
      </c>
      <c r="L27" s="6">
        <v>1.0</v>
      </c>
    </row>
    <row r="28">
      <c r="A28" s="3" t="s">
        <v>76</v>
      </c>
      <c r="B28" s="3" t="s">
        <v>77</v>
      </c>
      <c r="C28" s="4">
        <v>45071.0</v>
      </c>
      <c r="D28" s="4">
        <v>45083.0</v>
      </c>
      <c r="E28" s="3" t="s">
        <v>29</v>
      </c>
      <c r="F28" s="5">
        <v>1.4</v>
      </c>
      <c r="G28" s="5">
        <v>63.0</v>
      </c>
      <c r="H28" s="6">
        <v>0.0</v>
      </c>
      <c r="I28" s="5">
        <v>45.0</v>
      </c>
      <c r="J28" s="3" t="s">
        <v>23</v>
      </c>
      <c r="K28" s="3" t="s">
        <v>16</v>
      </c>
      <c r="L28" s="6">
        <v>1.0</v>
      </c>
    </row>
    <row r="29">
      <c r="A29" s="3" t="s">
        <v>78</v>
      </c>
      <c r="B29" s="3" t="s">
        <v>79</v>
      </c>
      <c r="C29" s="4">
        <v>45250.0</v>
      </c>
      <c r="D29" s="4">
        <v>45262.0</v>
      </c>
      <c r="E29" s="3" t="s">
        <v>14</v>
      </c>
      <c r="F29" s="5">
        <v>1.2</v>
      </c>
      <c r="G29" s="5">
        <v>82.0</v>
      </c>
      <c r="H29" s="6">
        <v>0.0</v>
      </c>
      <c r="I29" s="5">
        <v>23.0</v>
      </c>
      <c r="J29" s="3" t="s">
        <v>15</v>
      </c>
      <c r="K29" s="3" t="s">
        <v>16</v>
      </c>
      <c r="L29" s="6">
        <v>1.0</v>
      </c>
    </row>
    <row r="30">
      <c r="A30" s="3" t="s">
        <v>80</v>
      </c>
      <c r="B30" s="3" t="s">
        <v>81</v>
      </c>
      <c r="C30" s="4">
        <v>45096.0</v>
      </c>
      <c r="D30" s="4">
        <v>45108.0</v>
      </c>
      <c r="E30" s="3" t="s">
        <v>29</v>
      </c>
      <c r="F30" s="5">
        <v>4.3</v>
      </c>
      <c r="G30" s="5">
        <v>44.0</v>
      </c>
      <c r="H30" s="6">
        <v>1.0</v>
      </c>
      <c r="I30" s="5">
        <v>49.0</v>
      </c>
      <c r="J30" s="3" t="s">
        <v>19</v>
      </c>
      <c r="K30" s="3" t="s">
        <v>16</v>
      </c>
      <c r="L30" s="6">
        <v>0.0</v>
      </c>
    </row>
    <row r="31">
      <c r="A31" s="3" t="s">
        <v>82</v>
      </c>
      <c r="B31" s="3" t="s">
        <v>83</v>
      </c>
      <c r="C31" s="4">
        <v>45230.0</v>
      </c>
      <c r="D31" s="4">
        <v>45242.0</v>
      </c>
      <c r="E31" s="3" t="s">
        <v>14</v>
      </c>
      <c r="F31" s="5">
        <v>2.1</v>
      </c>
      <c r="G31" s="5">
        <v>23.0</v>
      </c>
      <c r="H31" s="6">
        <v>1.0</v>
      </c>
      <c r="I31" s="5">
        <v>41.0</v>
      </c>
      <c r="J31" s="3" t="s">
        <v>32</v>
      </c>
      <c r="K31" s="3" t="s">
        <v>47</v>
      </c>
      <c r="L31" s="6">
        <v>1.0</v>
      </c>
    </row>
    <row r="32">
      <c r="A32" s="3" t="s">
        <v>84</v>
      </c>
      <c r="B32" s="3" t="s">
        <v>85</v>
      </c>
      <c r="C32" s="4">
        <v>45139.0</v>
      </c>
      <c r="D32" s="4">
        <v>45151.0</v>
      </c>
      <c r="E32" s="3" t="s">
        <v>29</v>
      </c>
      <c r="F32" s="5">
        <v>3.4</v>
      </c>
      <c r="G32" s="5">
        <v>4.0</v>
      </c>
      <c r="H32" s="6">
        <v>1.0</v>
      </c>
      <c r="I32" s="5">
        <v>29.0</v>
      </c>
      <c r="J32" s="3" t="s">
        <v>15</v>
      </c>
      <c r="K32" s="3" t="s">
        <v>16</v>
      </c>
      <c r="L32" s="6">
        <v>1.0</v>
      </c>
    </row>
    <row r="33">
      <c r="A33" s="3" t="s">
        <v>86</v>
      </c>
      <c r="B33" s="3" t="s">
        <v>87</v>
      </c>
      <c r="C33" s="4">
        <v>45015.0</v>
      </c>
      <c r="D33" s="4">
        <v>45027.0</v>
      </c>
      <c r="E33" s="3" t="s">
        <v>22</v>
      </c>
      <c r="F33" s="5">
        <v>1.9</v>
      </c>
      <c r="G33" s="5">
        <v>59.0</v>
      </c>
      <c r="H33" s="6">
        <v>0.0</v>
      </c>
      <c r="I33" s="5">
        <v>12.0</v>
      </c>
      <c r="J33" s="3" t="s">
        <v>15</v>
      </c>
      <c r="K33" s="3" t="s">
        <v>47</v>
      </c>
      <c r="L33" s="6">
        <v>0.0</v>
      </c>
    </row>
    <row r="34">
      <c r="A34" s="3" t="s">
        <v>88</v>
      </c>
      <c r="B34" s="3" t="s">
        <v>89</v>
      </c>
      <c r="C34" s="4">
        <v>45152.0</v>
      </c>
      <c r="D34" s="4">
        <v>45164.0</v>
      </c>
      <c r="E34" s="3" t="s">
        <v>14</v>
      </c>
      <c r="F34" s="5">
        <v>2.3</v>
      </c>
      <c r="G34" s="5">
        <v>77.0</v>
      </c>
      <c r="H34" s="6">
        <v>1.0</v>
      </c>
      <c r="I34" s="5">
        <v>24.0</v>
      </c>
      <c r="J34" s="3" t="s">
        <v>35</v>
      </c>
      <c r="K34" s="3" t="s">
        <v>47</v>
      </c>
      <c r="L34" s="6">
        <v>1.0</v>
      </c>
    </row>
    <row r="35">
      <c r="A35" s="3" t="s">
        <v>90</v>
      </c>
      <c r="B35" s="3" t="s">
        <v>91</v>
      </c>
      <c r="C35" s="4">
        <v>45241.0</v>
      </c>
      <c r="D35" s="4">
        <v>45253.0</v>
      </c>
      <c r="E35" s="3" t="s">
        <v>38</v>
      </c>
      <c r="F35" s="5">
        <v>0.4</v>
      </c>
      <c r="G35" s="5">
        <v>17.0</v>
      </c>
      <c r="H35" s="6">
        <v>0.0</v>
      </c>
      <c r="I35" s="5">
        <v>22.0</v>
      </c>
      <c r="J35" s="3" t="s">
        <v>23</v>
      </c>
      <c r="K35" s="3" t="s">
        <v>16</v>
      </c>
      <c r="L35" s="6">
        <v>0.0</v>
      </c>
    </row>
    <row r="36">
      <c r="A36" s="3" t="s">
        <v>92</v>
      </c>
      <c r="B36" s="3" t="s">
        <v>93</v>
      </c>
      <c r="C36" s="4">
        <v>45140.0</v>
      </c>
      <c r="D36" s="4">
        <v>45152.0</v>
      </c>
      <c r="E36" s="3" t="s">
        <v>29</v>
      </c>
      <c r="F36" s="5">
        <v>4.2</v>
      </c>
      <c r="G36" s="5">
        <v>91.0</v>
      </c>
      <c r="H36" s="6">
        <v>1.0</v>
      </c>
      <c r="I36" s="5">
        <v>27.0</v>
      </c>
      <c r="J36" s="3" t="s">
        <v>19</v>
      </c>
      <c r="K36" s="3" t="s">
        <v>26</v>
      </c>
      <c r="L36" s="6">
        <v>1.0</v>
      </c>
    </row>
    <row r="37">
      <c r="A37" s="3" t="s">
        <v>94</v>
      </c>
      <c r="B37" s="3" t="s">
        <v>95</v>
      </c>
      <c r="C37" s="4">
        <v>45219.0</v>
      </c>
      <c r="D37" s="4">
        <v>45231.0</v>
      </c>
      <c r="E37" s="3" t="s">
        <v>29</v>
      </c>
      <c r="F37" s="5">
        <v>0.7</v>
      </c>
      <c r="G37" s="5">
        <v>7.0</v>
      </c>
      <c r="H37" s="6">
        <v>0.0</v>
      </c>
      <c r="I37" s="5">
        <v>52.0</v>
      </c>
      <c r="J37" s="3" t="s">
        <v>32</v>
      </c>
      <c r="K37" s="3" t="s">
        <v>26</v>
      </c>
      <c r="L37" s="6">
        <v>1.0</v>
      </c>
    </row>
    <row r="38">
      <c r="A38" s="3" t="s">
        <v>96</v>
      </c>
      <c r="B38" s="3" t="s">
        <v>97</v>
      </c>
      <c r="C38" s="4">
        <v>45163.0</v>
      </c>
      <c r="D38" s="4">
        <v>45175.0</v>
      </c>
      <c r="E38" s="3" t="s">
        <v>22</v>
      </c>
      <c r="F38" s="5">
        <v>1.5</v>
      </c>
      <c r="G38" s="5">
        <v>50.0</v>
      </c>
      <c r="H38" s="6">
        <v>1.0</v>
      </c>
      <c r="I38" s="5">
        <v>18.0</v>
      </c>
      <c r="J38" s="3" t="s">
        <v>32</v>
      </c>
      <c r="K38" s="3" t="s">
        <v>47</v>
      </c>
      <c r="L38" s="6">
        <v>0.0</v>
      </c>
    </row>
    <row r="39">
      <c r="A39" s="3" t="s">
        <v>98</v>
      </c>
      <c r="B39" s="3" t="s">
        <v>99</v>
      </c>
      <c r="C39" s="4">
        <v>45195.0</v>
      </c>
      <c r="D39" s="4">
        <v>45207.0</v>
      </c>
      <c r="E39" s="3" t="s">
        <v>22</v>
      </c>
      <c r="F39" s="5">
        <v>4.8</v>
      </c>
      <c r="G39" s="5">
        <v>10.0</v>
      </c>
      <c r="H39" s="6">
        <v>1.0</v>
      </c>
      <c r="I39" s="5">
        <v>54.0</v>
      </c>
      <c r="J39" s="3" t="s">
        <v>23</v>
      </c>
      <c r="K39" s="3" t="s">
        <v>16</v>
      </c>
      <c r="L39" s="6">
        <v>1.0</v>
      </c>
    </row>
    <row r="40">
      <c r="A40" s="3" t="s">
        <v>100</v>
      </c>
      <c r="B40" s="3" t="s">
        <v>101</v>
      </c>
      <c r="C40" s="4">
        <v>44953.0</v>
      </c>
      <c r="D40" s="4">
        <v>44965.0</v>
      </c>
      <c r="E40" s="3" t="s">
        <v>14</v>
      </c>
      <c r="F40" s="5">
        <v>1.1</v>
      </c>
      <c r="G40" s="5">
        <v>24.0</v>
      </c>
      <c r="H40" s="6">
        <v>0.0</v>
      </c>
      <c r="I40" s="5">
        <v>32.0</v>
      </c>
      <c r="J40" s="3" t="s">
        <v>32</v>
      </c>
      <c r="K40" s="3" t="s">
        <v>16</v>
      </c>
      <c r="L40" s="6">
        <v>1.0</v>
      </c>
    </row>
    <row r="41">
      <c r="A41" s="3" t="s">
        <v>102</v>
      </c>
      <c r="B41" s="3" t="s">
        <v>103</v>
      </c>
      <c r="C41" s="4">
        <v>44929.0</v>
      </c>
      <c r="D41" s="4">
        <v>44941.0</v>
      </c>
      <c r="E41" s="3" t="s">
        <v>38</v>
      </c>
      <c r="F41" s="5">
        <v>0.9</v>
      </c>
      <c r="G41" s="5">
        <v>1.0</v>
      </c>
      <c r="H41" s="6">
        <v>0.0</v>
      </c>
      <c r="I41" s="5">
        <v>38.0</v>
      </c>
      <c r="J41" s="3" t="s">
        <v>35</v>
      </c>
      <c r="K41" s="3" t="s">
        <v>26</v>
      </c>
      <c r="L41" s="6">
        <v>0.0</v>
      </c>
    </row>
    <row r="42">
      <c r="A42" s="3" t="s">
        <v>104</v>
      </c>
      <c r="B42" s="3" t="s">
        <v>105</v>
      </c>
      <c r="C42" s="4">
        <v>45177.0</v>
      </c>
      <c r="D42" s="4">
        <v>45189.0</v>
      </c>
      <c r="E42" s="3" t="s">
        <v>29</v>
      </c>
      <c r="F42" s="5">
        <v>2.5</v>
      </c>
      <c r="G42" s="5">
        <v>68.0</v>
      </c>
      <c r="H42" s="6">
        <v>1.0</v>
      </c>
      <c r="I42" s="5">
        <v>20.0</v>
      </c>
      <c r="J42" s="3" t="s">
        <v>23</v>
      </c>
      <c r="K42" s="3" t="s">
        <v>26</v>
      </c>
      <c r="L42" s="6">
        <v>1.0</v>
      </c>
    </row>
    <row r="43">
      <c r="A43" s="3" t="s">
        <v>106</v>
      </c>
      <c r="B43" s="3" t="s">
        <v>107</v>
      </c>
      <c r="C43" s="4">
        <v>45205.0</v>
      </c>
      <c r="D43" s="4">
        <v>45217.0</v>
      </c>
      <c r="E43" s="3" t="s">
        <v>14</v>
      </c>
      <c r="F43" s="5">
        <v>1.6</v>
      </c>
      <c r="G43" s="5">
        <v>41.0</v>
      </c>
      <c r="H43" s="6">
        <v>0.0</v>
      </c>
      <c r="I43" s="5">
        <v>47.0</v>
      </c>
      <c r="J43" s="3" t="s">
        <v>32</v>
      </c>
      <c r="K43" s="3" t="s">
        <v>26</v>
      </c>
      <c r="L43" s="6">
        <v>1.0</v>
      </c>
    </row>
    <row r="44">
      <c r="A44" s="3" t="s">
        <v>108</v>
      </c>
      <c r="B44" s="3" t="s">
        <v>109</v>
      </c>
      <c r="C44" s="4">
        <v>44973.0</v>
      </c>
      <c r="D44" s="4">
        <v>44985.0</v>
      </c>
      <c r="E44" s="3" t="s">
        <v>38</v>
      </c>
      <c r="F44" s="5">
        <v>3.9</v>
      </c>
      <c r="G44" s="5">
        <v>87.0</v>
      </c>
      <c r="H44" s="6">
        <v>0.0</v>
      </c>
      <c r="I44" s="5">
        <v>55.0</v>
      </c>
      <c r="J44" s="3" t="s">
        <v>19</v>
      </c>
      <c r="K44" s="3" t="s">
        <v>16</v>
      </c>
      <c r="L44" s="6">
        <v>0.0</v>
      </c>
    </row>
    <row r="45">
      <c r="A45" s="3" t="s">
        <v>110</v>
      </c>
      <c r="B45" s="3" t="s">
        <v>111</v>
      </c>
      <c r="C45" s="4">
        <v>45266.0</v>
      </c>
      <c r="D45" s="4">
        <v>45278.0</v>
      </c>
      <c r="E45" s="3" t="s">
        <v>38</v>
      </c>
      <c r="F45" s="5">
        <v>2.8</v>
      </c>
      <c r="G45" s="5">
        <v>29.0</v>
      </c>
      <c r="H45" s="6">
        <v>1.0</v>
      </c>
      <c r="I45" s="5">
        <v>16.0</v>
      </c>
      <c r="J45" s="3" t="s">
        <v>15</v>
      </c>
      <c r="K45" s="3" t="s">
        <v>16</v>
      </c>
      <c r="L45" s="6">
        <v>1.0</v>
      </c>
    </row>
    <row r="46">
      <c r="A46" s="3" t="s">
        <v>112</v>
      </c>
      <c r="B46" s="3" t="s">
        <v>113</v>
      </c>
      <c r="C46" s="4">
        <v>45176.0</v>
      </c>
      <c r="D46" s="4">
        <v>45188.0</v>
      </c>
      <c r="E46" s="3" t="s">
        <v>22</v>
      </c>
      <c r="F46" s="5">
        <v>3.8</v>
      </c>
      <c r="G46" s="5">
        <v>74.0</v>
      </c>
      <c r="H46" s="6">
        <v>0.0</v>
      </c>
      <c r="I46" s="5">
        <v>42.0</v>
      </c>
      <c r="J46" s="3" t="s">
        <v>15</v>
      </c>
      <c r="K46" s="3" t="s">
        <v>26</v>
      </c>
      <c r="L46" s="6">
        <v>0.0</v>
      </c>
    </row>
    <row r="47">
      <c r="A47" s="3" t="s">
        <v>114</v>
      </c>
      <c r="B47" s="3" t="s">
        <v>115</v>
      </c>
      <c r="C47" s="4">
        <v>44945.0</v>
      </c>
      <c r="D47" s="4">
        <v>44957.0</v>
      </c>
      <c r="E47" s="3" t="s">
        <v>22</v>
      </c>
      <c r="F47" s="5">
        <v>4.1</v>
      </c>
      <c r="G47" s="5">
        <v>12.0</v>
      </c>
      <c r="H47" s="6">
        <v>1.0</v>
      </c>
      <c r="I47" s="5">
        <v>53.0</v>
      </c>
      <c r="J47" s="3" t="s">
        <v>23</v>
      </c>
      <c r="K47" s="3" t="s">
        <v>16</v>
      </c>
      <c r="L47" s="6">
        <v>1.0</v>
      </c>
    </row>
    <row r="48">
      <c r="A48" s="3" t="s">
        <v>116</v>
      </c>
      <c r="B48" s="3" t="s">
        <v>117</v>
      </c>
      <c r="C48" s="4">
        <v>44961.0</v>
      </c>
      <c r="D48" s="4">
        <v>44973.0</v>
      </c>
      <c r="E48" s="3" t="s">
        <v>14</v>
      </c>
      <c r="F48" s="5">
        <v>4.9</v>
      </c>
      <c r="G48" s="5">
        <v>95.0</v>
      </c>
      <c r="H48" s="6">
        <v>0.0</v>
      </c>
      <c r="I48" s="5">
        <v>37.0</v>
      </c>
      <c r="J48" s="3" t="s">
        <v>32</v>
      </c>
      <c r="K48" s="3" t="s">
        <v>16</v>
      </c>
      <c r="L48" s="6">
        <v>0.0</v>
      </c>
    </row>
    <row r="49">
      <c r="A49" s="3" t="s">
        <v>118</v>
      </c>
      <c r="B49" s="3" t="s">
        <v>119</v>
      </c>
      <c r="C49" s="4">
        <v>45022.0</v>
      </c>
      <c r="D49" s="4">
        <v>45034.0</v>
      </c>
      <c r="E49" s="3" t="s">
        <v>22</v>
      </c>
      <c r="F49" s="5">
        <v>3.2</v>
      </c>
      <c r="G49" s="5">
        <v>85.0</v>
      </c>
      <c r="H49" s="6">
        <v>1.0</v>
      </c>
      <c r="I49" s="5">
        <v>34.0</v>
      </c>
      <c r="J49" s="3" t="s">
        <v>32</v>
      </c>
      <c r="K49" s="3" t="s">
        <v>47</v>
      </c>
      <c r="L49" s="6">
        <v>1.0</v>
      </c>
    </row>
    <row r="50">
      <c r="A50" s="3" t="s">
        <v>120</v>
      </c>
      <c r="B50" s="3" t="s">
        <v>121</v>
      </c>
      <c r="C50" s="4">
        <v>45122.0</v>
      </c>
      <c r="D50" s="4">
        <v>45134.0</v>
      </c>
      <c r="E50" s="3" t="s">
        <v>14</v>
      </c>
      <c r="F50" s="5">
        <v>5.0</v>
      </c>
      <c r="G50" s="5">
        <v>98.0</v>
      </c>
      <c r="H50" s="6">
        <v>0.0</v>
      </c>
      <c r="I50" s="5">
        <v>29.0</v>
      </c>
      <c r="J50" s="3" t="s">
        <v>32</v>
      </c>
      <c r="K50" s="3" t="s">
        <v>16</v>
      </c>
      <c r="L50" s="6">
        <v>1.0</v>
      </c>
    </row>
    <row r="51">
      <c r="A51" s="3" t="s">
        <v>122</v>
      </c>
      <c r="B51" s="3" t="s">
        <v>123</v>
      </c>
      <c r="C51" s="4">
        <v>44927.0</v>
      </c>
      <c r="D51" s="4">
        <v>44939.0</v>
      </c>
      <c r="E51" s="3" t="s">
        <v>14</v>
      </c>
      <c r="F51" s="5">
        <v>2.4</v>
      </c>
      <c r="G51" s="5">
        <v>92.0</v>
      </c>
      <c r="H51" s="6">
        <v>1.0</v>
      </c>
      <c r="I51" s="5">
        <v>45.0</v>
      </c>
      <c r="J51" s="3" t="s">
        <v>23</v>
      </c>
      <c r="K51" s="3" t="s">
        <v>26</v>
      </c>
      <c r="L51" s="6">
        <v>1.0</v>
      </c>
    </row>
    <row r="52">
      <c r="A52" s="3" t="s">
        <v>124</v>
      </c>
      <c r="B52" s="3" t="s">
        <v>125</v>
      </c>
      <c r="C52" s="4">
        <v>45082.0</v>
      </c>
      <c r="D52" s="4">
        <v>45094.0</v>
      </c>
      <c r="E52" s="3" t="s">
        <v>22</v>
      </c>
      <c r="F52" s="5">
        <v>1.3</v>
      </c>
      <c r="G52" s="5">
        <v>46.0</v>
      </c>
      <c r="H52" s="6">
        <v>0.0</v>
      </c>
      <c r="I52" s="5">
        <v>22.0</v>
      </c>
      <c r="J52" s="3" t="s">
        <v>15</v>
      </c>
      <c r="K52" s="3" t="s">
        <v>47</v>
      </c>
      <c r="L52" s="6">
        <v>1.0</v>
      </c>
    </row>
    <row r="53">
      <c r="A53" s="3" t="s">
        <v>126</v>
      </c>
      <c r="B53" s="3" t="s">
        <v>127</v>
      </c>
      <c r="C53" s="4">
        <v>44975.0</v>
      </c>
      <c r="D53" s="4">
        <v>44987.0</v>
      </c>
      <c r="E53" s="3" t="s">
        <v>14</v>
      </c>
      <c r="F53" s="5">
        <v>1.7</v>
      </c>
      <c r="G53" s="5">
        <v>38.0</v>
      </c>
      <c r="H53" s="6">
        <v>0.0</v>
      </c>
      <c r="I53" s="5">
        <v>50.0</v>
      </c>
      <c r="J53" s="3" t="s">
        <v>32</v>
      </c>
      <c r="K53" s="3" t="s">
        <v>47</v>
      </c>
      <c r="L53" s="6">
        <v>1.0</v>
      </c>
    </row>
    <row r="54">
      <c r="A54" s="3" t="s">
        <v>128</v>
      </c>
      <c r="B54" s="3" t="s">
        <v>129</v>
      </c>
      <c r="C54" s="4">
        <v>45141.0</v>
      </c>
      <c r="D54" s="4">
        <v>45153.0</v>
      </c>
      <c r="E54" s="3" t="s">
        <v>38</v>
      </c>
      <c r="F54" s="5">
        <v>0.0</v>
      </c>
      <c r="G54" s="5">
        <v>6.0</v>
      </c>
      <c r="H54" s="6">
        <v>1.0</v>
      </c>
      <c r="I54" s="5">
        <v>25.0</v>
      </c>
      <c r="J54" s="3" t="s">
        <v>35</v>
      </c>
      <c r="K54" s="3" t="s">
        <v>16</v>
      </c>
      <c r="L54" s="6">
        <v>0.0</v>
      </c>
    </row>
    <row r="55">
      <c r="A55" s="3" t="s">
        <v>130</v>
      </c>
      <c r="B55" s="3" t="s">
        <v>131</v>
      </c>
      <c r="C55" s="4">
        <v>45179.0</v>
      </c>
      <c r="D55" s="4">
        <v>45191.0</v>
      </c>
      <c r="E55" s="3" t="s">
        <v>14</v>
      </c>
      <c r="F55" s="5">
        <v>2.6</v>
      </c>
      <c r="G55" s="5">
        <v>58.0</v>
      </c>
      <c r="H55" s="6">
        <v>0.0</v>
      </c>
      <c r="I55" s="5">
        <v>47.0</v>
      </c>
      <c r="J55" s="3" t="s">
        <v>32</v>
      </c>
      <c r="K55" s="3" t="s">
        <v>26</v>
      </c>
      <c r="L55" s="6">
        <v>1.0</v>
      </c>
    </row>
    <row r="56">
      <c r="A56" s="3" t="s">
        <v>132</v>
      </c>
      <c r="B56" s="3" t="s">
        <v>133</v>
      </c>
      <c r="C56" s="4">
        <v>44938.0</v>
      </c>
      <c r="D56" s="4">
        <v>44950.0</v>
      </c>
      <c r="E56" s="3" t="s">
        <v>22</v>
      </c>
      <c r="F56" s="5">
        <v>0.6</v>
      </c>
      <c r="G56" s="5">
        <v>80.0</v>
      </c>
      <c r="H56" s="6">
        <v>1.0</v>
      </c>
      <c r="I56" s="5">
        <v>42.0</v>
      </c>
      <c r="J56" s="3" t="s">
        <v>35</v>
      </c>
      <c r="K56" s="3" t="s">
        <v>26</v>
      </c>
      <c r="L56" s="6">
        <v>1.0</v>
      </c>
    </row>
    <row r="57">
      <c r="A57" s="3" t="s">
        <v>134</v>
      </c>
      <c r="B57" s="3" t="s">
        <v>135</v>
      </c>
      <c r="C57" s="4">
        <v>45039.0</v>
      </c>
      <c r="D57" s="4">
        <v>45051.0</v>
      </c>
      <c r="E57" s="3" t="s">
        <v>22</v>
      </c>
      <c r="F57" s="5">
        <v>1.1</v>
      </c>
      <c r="G57" s="5">
        <v>30.0</v>
      </c>
      <c r="H57" s="6">
        <v>0.0</v>
      </c>
      <c r="I57" s="5">
        <v>44.0</v>
      </c>
      <c r="J57" s="3" t="s">
        <v>35</v>
      </c>
      <c r="K57" s="3" t="s">
        <v>16</v>
      </c>
      <c r="L57" s="6">
        <v>1.0</v>
      </c>
    </row>
    <row r="58">
      <c r="A58" s="3" t="s">
        <v>136</v>
      </c>
      <c r="B58" s="3" t="s">
        <v>137</v>
      </c>
      <c r="C58" s="4">
        <v>45143.0</v>
      </c>
      <c r="D58" s="4">
        <v>45155.0</v>
      </c>
      <c r="E58" s="3" t="s">
        <v>38</v>
      </c>
      <c r="F58" s="5">
        <v>2.0</v>
      </c>
      <c r="G58" s="5">
        <v>20.0</v>
      </c>
      <c r="H58" s="6">
        <v>1.0</v>
      </c>
      <c r="I58" s="5">
        <v>18.0</v>
      </c>
      <c r="J58" s="3" t="s">
        <v>19</v>
      </c>
      <c r="K58" s="3" t="s">
        <v>16</v>
      </c>
      <c r="L58" s="6">
        <v>1.0</v>
      </c>
    </row>
    <row r="59">
      <c r="A59" s="3" t="s">
        <v>138</v>
      </c>
      <c r="B59" s="3" t="s">
        <v>139</v>
      </c>
      <c r="C59" s="4">
        <v>45083.0</v>
      </c>
      <c r="D59" s="4">
        <v>45095.0</v>
      </c>
      <c r="E59" s="3" t="s">
        <v>14</v>
      </c>
      <c r="F59" s="5">
        <v>1.8</v>
      </c>
      <c r="G59" s="5">
        <v>84.0</v>
      </c>
      <c r="H59" s="6">
        <v>0.0</v>
      </c>
      <c r="I59" s="5">
        <v>38.0</v>
      </c>
      <c r="J59" s="3" t="s">
        <v>23</v>
      </c>
      <c r="K59" s="3" t="s">
        <v>16</v>
      </c>
      <c r="L59" s="6">
        <v>1.0</v>
      </c>
    </row>
    <row r="60">
      <c r="A60" s="3" t="s">
        <v>140</v>
      </c>
      <c r="B60" s="3" t="s">
        <v>141</v>
      </c>
      <c r="C60" s="4">
        <v>45223.0</v>
      </c>
      <c r="D60" s="4">
        <v>45235.0</v>
      </c>
      <c r="E60" s="3" t="s">
        <v>29</v>
      </c>
      <c r="F60" s="5">
        <v>4.7</v>
      </c>
      <c r="G60" s="5">
        <v>45.0</v>
      </c>
      <c r="H60" s="6">
        <v>1.0</v>
      </c>
      <c r="I60" s="5">
        <v>32.0</v>
      </c>
      <c r="J60" s="3" t="s">
        <v>19</v>
      </c>
      <c r="K60" s="3" t="s">
        <v>26</v>
      </c>
      <c r="L60" s="6">
        <v>1.0</v>
      </c>
    </row>
    <row r="61">
      <c r="A61" s="3" t="s">
        <v>142</v>
      </c>
      <c r="B61" s="3" t="s">
        <v>143</v>
      </c>
      <c r="C61" s="4">
        <v>45128.0</v>
      </c>
      <c r="D61" s="4">
        <v>45140.0</v>
      </c>
      <c r="E61" s="3" t="s">
        <v>14</v>
      </c>
      <c r="F61" s="5">
        <v>0.7</v>
      </c>
      <c r="G61" s="5">
        <v>90.0</v>
      </c>
      <c r="H61" s="6">
        <v>1.0</v>
      </c>
      <c r="I61" s="5">
        <v>26.0</v>
      </c>
      <c r="J61" s="3" t="s">
        <v>19</v>
      </c>
      <c r="K61" s="3" t="s">
        <v>26</v>
      </c>
      <c r="L61" s="6">
        <v>0.0</v>
      </c>
    </row>
    <row r="62">
      <c r="A62" s="3" t="s">
        <v>144</v>
      </c>
      <c r="B62" s="3" t="s">
        <v>145</v>
      </c>
      <c r="C62" s="4">
        <v>45185.0</v>
      </c>
      <c r="D62" s="4">
        <v>45197.0</v>
      </c>
      <c r="E62" s="3" t="s">
        <v>22</v>
      </c>
      <c r="F62" s="5">
        <v>3.3</v>
      </c>
      <c r="G62" s="5">
        <v>9.0</v>
      </c>
      <c r="H62" s="6">
        <v>0.0</v>
      </c>
      <c r="I62" s="5">
        <v>36.0</v>
      </c>
      <c r="J62" s="3" t="s">
        <v>23</v>
      </c>
      <c r="K62" s="3" t="s">
        <v>26</v>
      </c>
      <c r="L62" s="6">
        <v>1.0</v>
      </c>
    </row>
    <row r="63">
      <c r="A63" s="3" t="s">
        <v>146</v>
      </c>
      <c r="B63" s="3" t="s">
        <v>147</v>
      </c>
      <c r="C63" s="4">
        <v>44986.0</v>
      </c>
      <c r="D63" s="4">
        <v>44998.0</v>
      </c>
      <c r="E63" s="3" t="s">
        <v>38</v>
      </c>
      <c r="F63" s="5">
        <v>2.9</v>
      </c>
      <c r="G63" s="5">
        <v>67.0</v>
      </c>
      <c r="H63" s="6">
        <v>1.0</v>
      </c>
      <c r="I63" s="5">
        <v>14.0</v>
      </c>
      <c r="J63" s="3" t="s">
        <v>19</v>
      </c>
      <c r="K63" s="3" t="s">
        <v>26</v>
      </c>
      <c r="L63" s="6">
        <v>1.0</v>
      </c>
    </row>
    <row r="64">
      <c r="A64" s="3" t="s">
        <v>148</v>
      </c>
      <c r="B64" s="3" t="s">
        <v>149</v>
      </c>
      <c r="C64" s="4">
        <v>45193.0</v>
      </c>
      <c r="D64" s="4">
        <v>45205.0</v>
      </c>
      <c r="E64" s="3" t="s">
        <v>14</v>
      </c>
      <c r="F64" s="5">
        <v>1.0</v>
      </c>
      <c r="G64" s="5">
        <v>22.0</v>
      </c>
      <c r="H64" s="6">
        <v>1.0</v>
      </c>
      <c r="I64" s="5">
        <v>19.0</v>
      </c>
      <c r="J64" s="3" t="s">
        <v>19</v>
      </c>
      <c r="K64" s="3" t="s">
        <v>47</v>
      </c>
      <c r="L64" s="6">
        <v>1.0</v>
      </c>
    </row>
    <row r="65">
      <c r="A65" s="3" t="s">
        <v>150</v>
      </c>
      <c r="B65" s="3" t="s">
        <v>151</v>
      </c>
      <c r="C65" s="4">
        <v>45128.0</v>
      </c>
      <c r="D65" s="4">
        <v>45140.0</v>
      </c>
      <c r="E65" s="3" t="s">
        <v>29</v>
      </c>
      <c r="F65" s="5">
        <v>4.0</v>
      </c>
      <c r="G65" s="5">
        <v>83.0</v>
      </c>
      <c r="H65" s="6">
        <v>1.0</v>
      </c>
      <c r="I65" s="5">
        <v>13.0</v>
      </c>
      <c r="J65" s="3" t="s">
        <v>15</v>
      </c>
      <c r="K65" s="3" t="s">
        <v>47</v>
      </c>
      <c r="L65" s="6">
        <v>0.0</v>
      </c>
    </row>
    <row r="66">
      <c r="A66" s="3" t="s">
        <v>152</v>
      </c>
      <c r="B66" s="3" t="s">
        <v>153</v>
      </c>
      <c r="C66" s="4">
        <v>45054.0</v>
      </c>
      <c r="D66" s="4">
        <v>45066.0</v>
      </c>
      <c r="E66" s="3" t="s">
        <v>29</v>
      </c>
      <c r="F66" s="5">
        <v>3.5</v>
      </c>
      <c r="G66" s="5">
        <v>53.0</v>
      </c>
      <c r="H66" s="6">
        <v>1.0</v>
      </c>
      <c r="I66" s="5">
        <v>28.0</v>
      </c>
      <c r="J66" s="3" t="s">
        <v>19</v>
      </c>
      <c r="K66" s="3" t="s">
        <v>26</v>
      </c>
      <c r="L66" s="6">
        <v>1.0</v>
      </c>
    </row>
    <row r="67">
      <c r="A67" s="3" t="s">
        <v>154</v>
      </c>
      <c r="B67" s="3" t="s">
        <v>155</v>
      </c>
      <c r="C67" s="4">
        <v>45017.0</v>
      </c>
      <c r="D67" s="4">
        <v>45029.0</v>
      </c>
      <c r="E67" s="3" t="s">
        <v>38</v>
      </c>
      <c r="F67" s="5">
        <v>2.7</v>
      </c>
      <c r="G67" s="5">
        <v>18.0</v>
      </c>
      <c r="H67" s="6">
        <v>1.0</v>
      </c>
      <c r="I67" s="5">
        <v>46.0</v>
      </c>
      <c r="J67" s="3" t="s">
        <v>15</v>
      </c>
      <c r="K67" s="3" t="s">
        <v>16</v>
      </c>
      <c r="L67" s="6">
        <v>1.0</v>
      </c>
    </row>
    <row r="68">
      <c r="A68" s="3" t="s">
        <v>156</v>
      </c>
      <c r="B68" s="3" t="s">
        <v>157</v>
      </c>
      <c r="C68" s="4">
        <v>45034.0</v>
      </c>
      <c r="D68" s="4">
        <v>45046.0</v>
      </c>
      <c r="E68" s="3" t="s">
        <v>29</v>
      </c>
      <c r="F68" s="5">
        <v>3.0</v>
      </c>
      <c r="G68" s="5">
        <v>88.0</v>
      </c>
      <c r="H68" s="6">
        <v>1.0</v>
      </c>
      <c r="I68" s="5">
        <v>55.0</v>
      </c>
      <c r="J68" s="3" t="s">
        <v>23</v>
      </c>
      <c r="K68" s="3" t="s">
        <v>16</v>
      </c>
      <c r="L68" s="6">
        <v>1.0</v>
      </c>
    </row>
    <row r="69">
      <c r="A69" s="3" t="s">
        <v>158</v>
      </c>
      <c r="B69" s="3" t="s">
        <v>159</v>
      </c>
      <c r="C69" s="4">
        <v>45180.0</v>
      </c>
      <c r="D69" s="4">
        <v>45192.0</v>
      </c>
      <c r="E69" s="3" t="s">
        <v>14</v>
      </c>
      <c r="F69" s="5">
        <v>2.8</v>
      </c>
      <c r="G69" s="5">
        <v>42.0</v>
      </c>
      <c r="H69" s="6">
        <v>1.0</v>
      </c>
      <c r="I69" s="5">
        <v>23.0</v>
      </c>
      <c r="J69" s="3" t="s">
        <v>23</v>
      </c>
      <c r="K69" s="3" t="s">
        <v>16</v>
      </c>
      <c r="L69" s="6">
        <v>0.0</v>
      </c>
    </row>
    <row r="70">
      <c r="A70" s="3" t="s">
        <v>160</v>
      </c>
      <c r="B70" s="3" t="s">
        <v>161</v>
      </c>
      <c r="C70" s="4">
        <v>45191.0</v>
      </c>
      <c r="D70" s="4">
        <v>45203.0</v>
      </c>
      <c r="E70" s="3" t="s">
        <v>22</v>
      </c>
      <c r="F70" s="5">
        <v>2.4</v>
      </c>
      <c r="G70" s="5">
        <v>33.0</v>
      </c>
      <c r="H70" s="6">
        <v>1.0</v>
      </c>
      <c r="I70" s="5">
        <v>54.0</v>
      </c>
      <c r="J70" s="3" t="s">
        <v>35</v>
      </c>
      <c r="K70" s="3" t="s">
        <v>16</v>
      </c>
      <c r="L70" s="6">
        <v>0.0</v>
      </c>
    </row>
    <row r="71">
      <c r="A71" s="3" t="s">
        <v>162</v>
      </c>
      <c r="B71" s="3" t="s">
        <v>163</v>
      </c>
      <c r="C71" s="4">
        <v>45220.0</v>
      </c>
      <c r="D71" s="4">
        <v>45232.0</v>
      </c>
      <c r="E71" s="3" t="s">
        <v>22</v>
      </c>
      <c r="F71" s="5">
        <v>4.2</v>
      </c>
      <c r="G71" s="5">
        <v>99.0</v>
      </c>
      <c r="H71" s="6">
        <v>0.0</v>
      </c>
      <c r="I71" s="5">
        <v>33.0</v>
      </c>
      <c r="J71" s="3" t="s">
        <v>32</v>
      </c>
      <c r="K71" s="3" t="s">
        <v>16</v>
      </c>
      <c r="L71" s="6">
        <v>1.0</v>
      </c>
    </row>
    <row r="72">
      <c r="A72" s="3" t="s">
        <v>164</v>
      </c>
      <c r="B72" s="3" t="s">
        <v>165</v>
      </c>
      <c r="C72" s="4">
        <v>45153.0</v>
      </c>
      <c r="D72" s="4">
        <v>45165.0</v>
      </c>
      <c r="E72" s="3" t="s">
        <v>14</v>
      </c>
      <c r="F72" s="5">
        <v>2.5</v>
      </c>
      <c r="G72" s="5">
        <v>19.0</v>
      </c>
      <c r="H72" s="6">
        <v>1.0</v>
      </c>
      <c r="I72" s="5">
        <v>41.0</v>
      </c>
      <c r="J72" s="3" t="s">
        <v>15</v>
      </c>
      <c r="K72" s="3" t="s">
        <v>26</v>
      </c>
      <c r="L72" s="6">
        <v>1.0</v>
      </c>
    </row>
    <row r="73">
      <c r="A73" s="3" t="s">
        <v>166</v>
      </c>
      <c r="B73" s="3" t="s">
        <v>167</v>
      </c>
      <c r="C73" s="4">
        <v>45173.0</v>
      </c>
      <c r="D73" s="4">
        <v>45185.0</v>
      </c>
      <c r="E73" s="3" t="s">
        <v>22</v>
      </c>
      <c r="F73" s="5">
        <v>2.2</v>
      </c>
      <c r="G73" s="5">
        <v>100.0</v>
      </c>
      <c r="H73" s="6">
        <v>1.0</v>
      </c>
      <c r="I73" s="5">
        <v>48.0</v>
      </c>
      <c r="J73" s="3" t="s">
        <v>35</v>
      </c>
      <c r="K73" s="3" t="s">
        <v>16</v>
      </c>
      <c r="L73" s="6">
        <v>0.0</v>
      </c>
    </row>
    <row r="74">
      <c r="A74" s="3" t="s">
        <v>168</v>
      </c>
      <c r="B74" s="3" t="s">
        <v>169</v>
      </c>
      <c r="C74" s="4">
        <v>45029.0</v>
      </c>
      <c r="D74" s="4">
        <v>45041.0</v>
      </c>
      <c r="E74" s="3" t="s">
        <v>29</v>
      </c>
      <c r="F74" s="5">
        <v>4.6</v>
      </c>
      <c r="G74" s="5">
        <v>79.0</v>
      </c>
      <c r="H74" s="6">
        <v>1.0</v>
      </c>
      <c r="I74" s="5">
        <v>17.0</v>
      </c>
      <c r="J74" s="3" t="s">
        <v>35</v>
      </c>
      <c r="K74" s="3" t="s">
        <v>16</v>
      </c>
      <c r="L74" s="6">
        <v>0.0</v>
      </c>
    </row>
    <row r="75">
      <c r="A75" s="3" t="s">
        <v>170</v>
      </c>
      <c r="B75" s="3" t="s">
        <v>171</v>
      </c>
      <c r="C75" s="4">
        <v>45274.0</v>
      </c>
      <c r="D75" s="4">
        <v>45286.0</v>
      </c>
      <c r="E75" s="3" t="s">
        <v>22</v>
      </c>
      <c r="F75" s="5">
        <v>3.8</v>
      </c>
      <c r="G75" s="5">
        <v>52.0</v>
      </c>
      <c r="H75" s="6">
        <v>0.0</v>
      </c>
      <c r="I75" s="5">
        <v>35.0</v>
      </c>
      <c r="J75" s="3" t="s">
        <v>15</v>
      </c>
      <c r="K75" s="3" t="s">
        <v>26</v>
      </c>
      <c r="L75" s="6">
        <v>1.0</v>
      </c>
    </row>
    <row r="76">
      <c r="A76" s="3" t="s">
        <v>172</v>
      </c>
      <c r="B76" s="3" t="s">
        <v>173</v>
      </c>
      <c r="C76" s="4">
        <v>45167.0</v>
      </c>
      <c r="D76" s="4">
        <v>45179.0</v>
      </c>
      <c r="E76" s="3" t="s">
        <v>22</v>
      </c>
      <c r="F76" s="5">
        <v>4.8</v>
      </c>
      <c r="G76" s="5">
        <v>39.0</v>
      </c>
      <c r="H76" s="6">
        <v>1.0</v>
      </c>
      <c r="I76" s="5">
        <v>16.0</v>
      </c>
      <c r="J76" s="3" t="s">
        <v>32</v>
      </c>
      <c r="K76" s="3" t="s">
        <v>16</v>
      </c>
      <c r="L76" s="6">
        <v>1.0</v>
      </c>
    </row>
    <row r="77">
      <c r="A77" s="3" t="s">
        <v>174</v>
      </c>
      <c r="B77" s="3" t="s">
        <v>175</v>
      </c>
      <c r="C77" s="4">
        <v>45172.0</v>
      </c>
      <c r="D77" s="4">
        <v>45184.0</v>
      </c>
      <c r="E77" s="3" t="s">
        <v>14</v>
      </c>
      <c r="F77" s="5">
        <v>4.3</v>
      </c>
      <c r="G77" s="5">
        <v>65.0</v>
      </c>
      <c r="H77" s="6">
        <v>0.0</v>
      </c>
      <c r="I77" s="5">
        <v>27.0</v>
      </c>
      <c r="J77" s="3" t="s">
        <v>19</v>
      </c>
      <c r="K77" s="3" t="s">
        <v>47</v>
      </c>
      <c r="L77" s="6">
        <v>0.0</v>
      </c>
    </row>
    <row r="78">
      <c r="A78" s="3" t="s">
        <v>176</v>
      </c>
      <c r="B78" s="3" t="s">
        <v>177</v>
      </c>
      <c r="C78" s="4">
        <v>45202.0</v>
      </c>
      <c r="D78" s="4">
        <v>45214.0</v>
      </c>
      <c r="E78" s="3" t="s">
        <v>38</v>
      </c>
      <c r="F78" s="5">
        <v>0.4</v>
      </c>
      <c r="G78" s="5">
        <v>31.0</v>
      </c>
      <c r="H78" s="6">
        <v>1.0</v>
      </c>
      <c r="I78" s="5">
        <v>12.0</v>
      </c>
      <c r="J78" s="3" t="s">
        <v>15</v>
      </c>
      <c r="K78" s="3" t="s">
        <v>26</v>
      </c>
      <c r="L78" s="6">
        <v>0.0</v>
      </c>
    </row>
    <row r="79">
      <c r="A79" s="3" t="s">
        <v>178</v>
      </c>
      <c r="B79" s="3" t="s">
        <v>179</v>
      </c>
      <c r="C79" s="4">
        <v>45218.0</v>
      </c>
      <c r="D79" s="4">
        <v>45230.0</v>
      </c>
      <c r="E79" s="3" t="s">
        <v>22</v>
      </c>
      <c r="F79" s="5">
        <v>0.2</v>
      </c>
      <c r="G79" s="5">
        <v>35.0</v>
      </c>
      <c r="H79" s="6">
        <v>1.0</v>
      </c>
      <c r="I79" s="5">
        <v>15.0</v>
      </c>
      <c r="J79" s="3" t="s">
        <v>23</v>
      </c>
      <c r="K79" s="3" t="s">
        <v>16</v>
      </c>
      <c r="L79" s="6">
        <v>0.0</v>
      </c>
    </row>
    <row r="80">
      <c r="A80" s="3" t="s">
        <v>180</v>
      </c>
      <c r="B80" s="3" t="s">
        <v>181</v>
      </c>
      <c r="C80" s="4">
        <v>45051.0</v>
      </c>
      <c r="D80" s="4">
        <v>45063.0</v>
      </c>
      <c r="E80" s="3" t="s">
        <v>38</v>
      </c>
      <c r="F80" s="5">
        <v>3.2</v>
      </c>
      <c r="G80" s="5">
        <v>94.0</v>
      </c>
      <c r="H80" s="6">
        <v>0.0</v>
      </c>
      <c r="I80" s="5">
        <v>56.0</v>
      </c>
      <c r="J80" s="3" t="s">
        <v>19</v>
      </c>
      <c r="K80" s="3" t="s">
        <v>16</v>
      </c>
      <c r="L80" s="6">
        <v>1.0</v>
      </c>
    </row>
    <row r="81">
      <c r="A81" s="3" t="s">
        <v>182</v>
      </c>
      <c r="B81" s="3" t="s">
        <v>183</v>
      </c>
      <c r="C81" s="4">
        <v>45257.0</v>
      </c>
      <c r="D81" s="4">
        <v>45269.0</v>
      </c>
      <c r="E81" s="3" t="s">
        <v>22</v>
      </c>
      <c r="F81" s="5">
        <v>4.1</v>
      </c>
      <c r="G81" s="5">
        <v>21.0</v>
      </c>
      <c r="H81" s="6">
        <v>1.0</v>
      </c>
      <c r="I81" s="5">
        <v>20.0</v>
      </c>
      <c r="J81" s="3" t="s">
        <v>35</v>
      </c>
      <c r="K81" s="3" t="s">
        <v>16</v>
      </c>
      <c r="L81" s="6">
        <v>1.0</v>
      </c>
    </row>
    <row r="82">
      <c r="A82" s="3" t="s">
        <v>184</v>
      </c>
      <c r="B82" s="3" t="s">
        <v>185</v>
      </c>
      <c r="C82" s="4">
        <v>45232.0</v>
      </c>
      <c r="D82" s="4">
        <v>45244.0</v>
      </c>
      <c r="E82" s="3" t="s">
        <v>22</v>
      </c>
      <c r="F82" s="5">
        <v>3.4</v>
      </c>
      <c r="G82" s="5">
        <v>54.0</v>
      </c>
      <c r="H82" s="6">
        <v>1.0</v>
      </c>
      <c r="I82" s="5">
        <v>31.0</v>
      </c>
      <c r="J82" s="3" t="s">
        <v>35</v>
      </c>
      <c r="K82" s="3" t="s">
        <v>47</v>
      </c>
      <c r="L82" s="6">
        <v>0.0</v>
      </c>
    </row>
    <row r="83">
      <c r="A83" s="3" t="s">
        <v>186</v>
      </c>
      <c r="B83" s="3" t="s">
        <v>187</v>
      </c>
      <c r="C83" s="4">
        <v>45073.0</v>
      </c>
      <c r="D83" s="4">
        <v>45085.0</v>
      </c>
      <c r="E83" s="3" t="s">
        <v>38</v>
      </c>
      <c r="F83" s="5">
        <v>5.0</v>
      </c>
      <c r="G83" s="5">
        <v>97.0</v>
      </c>
      <c r="H83" s="6">
        <v>1.0</v>
      </c>
      <c r="I83" s="5">
        <v>39.0</v>
      </c>
      <c r="J83" s="3" t="s">
        <v>35</v>
      </c>
      <c r="K83" s="3" t="s">
        <v>16</v>
      </c>
      <c r="L83" s="6">
        <v>1.0</v>
      </c>
    </row>
    <row r="84">
      <c r="A84" s="3" t="s">
        <v>188</v>
      </c>
      <c r="B84" s="3" t="s">
        <v>189</v>
      </c>
      <c r="C84" s="4">
        <v>45187.0</v>
      </c>
      <c r="D84" s="4">
        <v>45199.0</v>
      </c>
      <c r="E84" s="3" t="s">
        <v>22</v>
      </c>
      <c r="F84" s="5">
        <v>1.9</v>
      </c>
      <c r="G84" s="5">
        <v>72.0</v>
      </c>
      <c r="H84" s="6">
        <v>1.0</v>
      </c>
      <c r="I84" s="5">
        <v>30.0</v>
      </c>
      <c r="J84" s="3" t="s">
        <v>23</v>
      </c>
      <c r="K84" s="3" t="s">
        <v>47</v>
      </c>
      <c r="L84" s="6">
        <v>0.0</v>
      </c>
    </row>
    <row r="85">
      <c r="A85" s="3" t="s">
        <v>190</v>
      </c>
      <c r="B85" s="3" t="s">
        <v>191</v>
      </c>
      <c r="C85" s="4">
        <v>45232.0</v>
      </c>
      <c r="D85" s="4">
        <v>45244.0</v>
      </c>
      <c r="E85" s="3" t="s">
        <v>38</v>
      </c>
      <c r="F85" s="5">
        <v>0.1</v>
      </c>
      <c r="G85" s="5">
        <v>55.0</v>
      </c>
      <c r="H85" s="6">
        <v>1.0</v>
      </c>
      <c r="I85" s="5">
        <v>21.0</v>
      </c>
      <c r="J85" s="3" t="s">
        <v>15</v>
      </c>
      <c r="K85" s="3" t="s">
        <v>26</v>
      </c>
      <c r="L85" s="6">
        <v>0.0</v>
      </c>
    </row>
    <row r="86">
      <c r="A86" s="3" t="s">
        <v>192</v>
      </c>
      <c r="B86" s="3" t="s">
        <v>193</v>
      </c>
      <c r="C86" s="4">
        <v>45196.0</v>
      </c>
      <c r="D86" s="4">
        <v>45208.0</v>
      </c>
      <c r="E86" s="3" t="s">
        <v>14</v>
      </c>
      <c r="F86" s="5">
        <v>2.1</v>
      </c>
      <c r="G86" s="5">
        <v>64.0</v>
      </c>
      <c r="H86" s="6">
        <v>0.0</v>
      </c>
      <c r="I86" s="5">
        <v>24.0</v>
      </c>
      <c r="J86" s="3" t="s">
        <v>35</v>
      </c>
      <c r="K86" s="3" t="s">
        <v>26</v>
      </c>
      <c r="L86" s="6">
        <v>1.0</v>
      </c>
    </row>
    <row r="87">
      <c r="A87" s="3" t="s">
        <v>194</v>
      </c>
      <c r="B87" s="3" t="s">
        <v>195</v>
      </c>
      <c r="C87" s="4">
        <v>45031.0</v>
      </c>
      <c r="D87" s="4">
        <v>45043.0</v>
      </c>
      <c r="E87" s="3" t="s">
        <v>14</v>
      </c>
      <c r="F87" s="5">
        <v>1.2</v>
      </c>
      <c r="G87" s="5">
        <v>43.0</v>
      </c>
      <c r="H87" s="6">
        <v>0.0</v>
      </c>
      <c r="I87" s="5">
        <v>43.0</v>
      </c>
      <c r="J87" s="3" t="s">
        <v>35</v>
      </c>
      <c r="K87" s="3" t="s">
        <v>47</v>
      </c>
      <c r="L87" s="6">
        <v>1.0</v>
      </c>
    </row>
    <row r="88">
      <c r="A88" s="3" t="s">
        <v>196</v>
      </c>
      <c r="B88" s="3" t="s">
        <v>197</v>
      </c>
      <c r="C88" s="4">
        <v>45130.0</v>
      </c>
      <c r="D88" s="4">
        <v>45142.0</v>
      </c>
      <c r="E88" s="3" t="s">
        <v>14</v>
      </c>
      <c r="F88" s="5">
        <v>0.8</v>
      </c>
      <c r="G88" s="5">
        <v>61.0</v>
      </c>
      <c r="H88" s="6">
        <v>1.0</v>
      </c>
      <c r="I88" s="5">
        <v>51.0</v>
      </c>
      <c r="J88" s="3" t="s">
        <v>32</v>
      </c>
      <c r="K88" s="3" t="s">
        <v>16</v>
      </c>
      <c r="L88" s="6">
        <v>0.0</v>
      </c>
    </row>
    <row r="89">
      <c r="A89" s="3" t="s">
        <v>198</v>
      </c>
      <c r="B89" s="3" t="s">
        <v>199</v>
      </c>
      <c r="C89" s="4">
        <v>44988.0</v>
      </c>
      <c r="D89" s="4">
        <v>45000.0</v>
      </c>
      <c r="E89" s="3" t="s">
        <v>22</v>
      </c>
      <c r="F89" s="5">
        <v>4.5</v>
      </c>
      <c r="G89" s="5">
        <v>96.0</v>
      </c>
      <c r="H89" s="6">
        <v>1.0</v>
      </c>
      <c r="I89" s="5">
        <v>49.0</v>
      </c>
      <c r="J89" s="3" t="s">
        <v>19</v>
      </c>
      <c r="K89" s="3" t="s">
        <v>47</v>
      </c>
      <c r="L89" s="6">
        <v>0.0</v>
      </c>
    </row>
    <row r="90">
      <c r="A90" s="3" t="s">
        <v>200</v>
      </c>
      <c r="B90" s="3" t="s">
        <v>201</v>
      </c>
      <c r="C90" s="4">
        <v>45281.0</v>
      </c>
      <c r="D90" s="4">
        <v>45293.0</v>
      </c>
      <c r="E90" s="3" t="s">
        <v>14</v>
      </c>
      <c r="F90" s="5">
        <v>3.1</v>
      </c>
      <c r="G90" s="5">
        <v>13.0</v>
      </c>
      <c r="H90" s="6">
        <v>1.0</v>
      </c>
      <c r="I90" s="5">
        <v>52.0</v>
      </c>
      <c r="J90" s="3" t="s">
        <v>35</v>
      </c>
      <c r="K90" s="3" t="s">
        <v>47</v>
      </c>
      <c r="L90" s="6">
        <v>1.0</v>
      </c>
    </row>
    <row r="91">
      <c r="A91" s="3" t="s">
        <v>202</v>
      </c>
      <c r="B91" s="3" t="s">
        <v>203</v>
      </c>
      <c r="C91" s="4">
        <v>45200.0</v>
      </c>
      <c r="D91" s="4">
        <v>45212.0</v>
      </c>
      <c r="E91" s="3" t="s">
        <v>22</v>
      </c>
      <c r="F91" s="5">
        <v>0.3</v>
      </c>
      <c r="G91" s="5">
        <v>75.0</v>
      </c>
      <c r="H91" s="6">
        <v>1.0</v>
      </c>
      <c r="I91" s="5">
        <v>40.0</v>
      </c>
      <c r="J91" s="3" t="s">
        <v>32</v>
      </c>
      <c r="K91" s="3" t="s">
        <v>16</v>
      </c>
      <c r="L91" s="6">
        <v>0.0</v>
      </c>
    </row>
    <row r="92">
      <c r="A92" s="3" t="s">
        <v>204</v>
      </c>
      <c r="B92" s="3" t="s">
        <v>205</v>
      </c>
      <c r="C92" s="4">
        <v>45125.0</v>
      </c>
      <c r="D92" s="4">
        <v>45137.0</v>
      </c>
      <c r="E92" s="3" t="s">
        <v>29</v>
      </c>
      <c r="F92" s="5">
        <v>4.4</v>
      </c>
      <c r="G92" s="5">
        <v>3.0</v>
      </c>
      <c r="H92" s="6">
        <v>0.0</v>
      </c>
      <c r="I92" s="5">
        <v>22.0</v>
      </c>
      <c r="J92" s="3" t="s">
        <v>19</v>
      </c>
      <c r="K92" s="3" t="s">
        <v>47</v>
      </c>
      <c r="L92" s="6">
        <v>1.0</v>
      </c>
    </row>
    <row r="93">
      <c r="A93" s="3" t="s">
        <v>206</v>
      </c>
      <c r="B93" s="3" t="s">
        <v>207</v>
      </c>
      <c r="C93" s="4">
        <v>44951.0</v>
      </c>
      <c r="D93" s="4">
        <v>44963.0</v>
      </c>
      <c r="E93" s="3" t="s">
        <v>29</v>
      </c>
      <c r="F93" s="5">
        <v>1.6</v>
      </c>
      <c r="G93" s="5">
        <v>34.0</v>
      </c>
      <c r="H93" s="6">
        <v>0.0</v>
      </c>
      <c r="I93" s="5">
        <v>31.0</v>
      </c>
      <c r="J93" s="3" t="s">
        <v>15</v>
      </c>
      <c r="K93" s="3" t="s">
        <v>47</v>
      </c>
      <c r="L93" s="6">
        <v>1.0</v>
      </c>
    </row>
    <row r="94">
      <c r="A94" s="3" t="s">
        <v>208</v>
      </c>
      <c r="B94" s="3" t="s">
        <v>209</v>
      </c>
      <c r="C94" s="4">
        <v>45020.0</v>
      </c>
      <c r="D94" s="4">
        <v>45032.0</v>
      </c>
      <c r="E94" s="3" t="s">
        <v>22</v>
      </c>
      <c r="F94" s="5">
        <v>3.7</v>
      </c>
      <c r="G94" s="5">
        <v>89.0</v>
      </c>
      <c r="H94" s="6">
        <v>0.0</v>
      </c>
      <c r="I94" s="5">
        <v>52.0</v>
      </c>
      <c r="J94" s="3" t="s">
        <v>23</v>
      </c>
      <c r="K94" s="3" t="s">
        <v>26</v>
      </c>
      <c r="L94" s="6">
        <v>1.0</v>
      </c>
    </row>
    <row r="95">
      <c r="A95" s="3" t="s">
        <v>210</v>
      </c>
      <c r="B95" s="3" t="s">
        <v>211</v>
      </c>
      <c r="C95" s="4">
        <v>45148.0</v>
      </c>
      <c r="D95" s="4">
        <v>45160.0</v>
      </c>
      <c r="E95" s="3" t="s">
        <v>14</v>
      </c>
      <c r="F95" s="5">
        <v>1.4</v>
      </c>
      <c r="G95" s="5">
        <v>25.0</v>
      </c>
      <c r="H95" s="6">
        <v>0.0</v>
      </c>
      <c r="I95" s="5">
        <v>45.0</v>
      </c>
      <c r="J95" s="3" t="s">
        <v>15</v>
      </c>
      <c r="K95" s="3" t="s">
        <v>47</v>
      </c>
      <c r="L95" s="6">
        <v>1.0</v>
      </c>
    </row>
    <row r="96">
      <c r="A96" s="3" t="s">
        <v>212</v>
      </c>
      <c r="B96" s="3" t="s">
        <v>213</v>
      </c>
      <c r="C96" s="4">
        <v>44993.0</v>
      </c>
      <c r="D96" s="4">
        <v>45005.0</v>
      </c>
      <c r="E96" s="3" t="s">
        <v>22</v>
      </c>
      <c r="F96" s="5">
        <v>0.9</v>
      </c>
      <c r="G96" s="5">
        <v>73.0</v>
      </c>
      <c r="H96" s="6">
        <v>0.0</v>
      </c>
      <c r="I96" s="5">
        <v>18.0</v>
      </c>
      <c r="J96" s="3" t="s">
        <v>19</v>
      </c>
      <c r="K96" s="3" t="s">
        <v>47</v>
      </c>
      <c r="L96" s="6">
        <v>1.0</v>
      </c>
    </row>
    <row r="97">
      <c r="A97" s="3" t="s">
        <v>214</v>
      </c>
      <c r="B97" s="3" t="s">
        <v>215</v>
      </c>
      <c r="C97" s="4">
        <v>45130.0</v>
      </c>
      <c r="D97" s="4">
        <v>45142.0</v>
      </c>
      <c r="E97" s="3" t="s">
        <v>22</v>
      </c>
      <c r="F97" s="5">
        <v>2.3</v>
      </c>
      <c r="G97" s="5">
        <v>37.0</v>
      </c>
      <c r="H97" s="6">
        <v>1.0</v>
      </c>
      <c r="I97" s="5">
        <v>50.0</v>
      </c>
      <c r="J97" s="3" t="s">
        <v>35</v>
      </c>
      <c r="K97" s="3" t="s">
        <v>26</v>
      </c>
      <c r="L97" s="6">
        <v>0.0</v>
      </c>
    </row>
    <row r="98">
      <c r="A98" s="3" t="s">
        <v>216</v>
      </c>
      <c r="B98" s="3" t="s">
        <v>217</v>
      </c>
      <c r="C98" s="4">
        <v>44973.0</v>
      </c>
      <c r="D98" s="4">
        <v>44985.0</v>
      </c>
      <c r="E98" s="3" t="s">
        <v>29</v>
      </c>
      <c r="F98" s="5">
        <v>3.6</v>
      </c>
      <c r="G98" s="5">
        <v>86.0</v>
      </c>
      <c r="H98" s="6">
        <v>0.0</v>
      </c>
      <c r="I98" s="5">
        <v>43.0</v>
      </c>
      <c r="J98" s="3" t="s">
        <v>32</v>
      </c>
      <c r="K98" s="3" t="s">
        <v>16</v>
      </c>
      <c r="L98" s="6">
        <v>1.0</v>
      </c>
    </row>
    <row r="99">
      <c r="A99" s="3" t="s">
        <v>218</v>
      </c>
      <c r="B99" s="3" t="s">
        <v>219</v>
      </c>
      <c r="C99" s="4">
        <v>45095.0</v>
      </c>
      <c r="D99" s="4">
        <v>45107.0</v>
      </c>
      <c r="E99" s="3" t="s">
        <v>14</v>
      </c>
      <c r="F99" s="5">
        <v>1.3</v>
      </c>
      <c r="G99" s="5">
        <v>70.0</v>
      </c>
      <c r="H99" s="6">
        <v>0.0</v>
      </c>
      <c r="I99" s="5">
        <v>39.0</v>
      </c>
      <c r="J99" s="3" t="s">
        <v>19</v>
      </c>
      <c r="K99" s="3" t="s">
        <v>16</v>
      </c>
      <c r="L99" s="6">
        <v>0.0</v>
      </c>
    </row>
    <row r="100">
      <c r="A100" s="3" t="s">
        <v>220</v>
      </c>
      <c r="B100" s="3" t="s">
        <v>221</v>
      </c>
      <c r="C100" s="4">
        <v>45136.0</v>
      </c>
      <c r="D100" s="4">
        <v>45148.0</v>
      </c>
      <c r="E100" s="3" t="s">
        <v>29</v>
      </c>
      <c r="F100" s="5">
        <v>3.9</v>
      </c>
      <c r="G100" s="5">
        <v>62.0</v>
      </c>
      <c r="H100" s="6">
        <v>1.0</v>
      </c>
      <c r="I100" s="5">
        <v>51.0</v>
      </c>
      <c r="J100" s="3" t="s">
        <v>32</v>
      </c>
      <c r="K100" s="3" t="s">
        <v>47</v>
      </c>
      <c r="L100" s="6">
        <v>1.0</v>
      </c>
    </row>
    <row r="101">
      <c r="A101" s="3" t="s">
        <v>222</v>
      </c>
      <c r="B101" s="3" t="s">
        <v>223</v>
      </c>
      <c r="C101" s="4">
        <v>45094.0</v>
      </c>
      <c r="D101" s="4">
        <v>45106.0</v>
      </c>
      <c r="E101" s="3" t="s">
        <v>38</v>
      </c>
      <c r="F101" s="5">
        <v>1.5</v>
      </c>
      <c r="G101" s="5">
        <v>93.0</v>
      </c>
      <c r="H101" s="6">
        <v>0.0</v>
      </c>
      <c r="I101" s="5">
        <v>13.0</v>
      </c>
      <c r="J101" s="3" t="s">
        <v>35</v>
      </c>
      <c r="K101" s="3" t="s">
        <v>26</v>
      </c>
      <c r="L101" s="6">
        <v>1.0</v>
      </c>
    </row>
    <row r="102">
      <c r="A102" s="3" t="s">
        <v>224</v>
      </c>
      <c r="B102" s="3" t="s">
        <v>225</v>
      </c>
      <c r="C102" s="4">
        <v>45192.0</v>
      </c>
      <c r="D102" s="4">
        <v>45204.0</v>
      </c>
      <c r="E102" s="3" t="s">
        <v>22</v>
      </c>
      <c r="F102" s="5">
        <v>0.5</v>
      </c>
      <c r="G102" s="5">
        <v>0.0</v>
      </c>
      <c r="H102" s="6">
        <v>1.0</v>
      </c>
      <c r="I102" s="5">
        <v>49.0</v>
      </c>
      <c r="J102" s="3" t="s">
        <v>23</v>
      </c>
      <c r="K102" s="3" t="s">
        <v>47</v>
      </c>
      <c r="L102" s="6">
        <v>0.0</v>
      </c>
    </row>
    <row r="103">
      <c r="A103" s="3" t="s">
        <v>226</v>
      </c>
      <c r="B103" s="3" t="s">
        <v>227</v>
      </c>
      <c r="C103" s="4">
        <v>45290.0</v>
      </c>
      <c r="D103" s="4">
        <v>45302.0</v>
      </c>
      <c r="E103" s="3" t="s">
        <v>38</v>
      </c>
      <c r="F103" s="5">
        <v>4.9</v>
      </c>
      <c r="G103" s="5">
        <v>100.0</v>
      </c>
      <c r="H103" s="6">
        <v>1.0</v>
      </c>
      <c r="I103" s="5">
        <v>34.0</v>
      </c>
      <c r="J103" s="3" t="s">
        <v>19</v>
      </c>
      <c r="K103" s="3" t="s">
        <v>16</v>
      </c>
      <c r="L103" s="6">
        <v>0.0</v>
      </c>
    </row>
    <row r="104">
      <c r="A104" s="3" t="s">
        <v>228</v>
      </c>
      <c r="B104" s="3" t="s">
        <v>229</v>
      </c>
      <c r="C104" s="4">
        <v>45209.0</v>
      </c>
      <c r="D104" s="4">
        <v>45221.0</v>
      </c>
      <c r="E104" s="3" t="s">
        <v>14</v>
      </c>
      <c r="F104" s="5">
        <v>3.4</v>
      </c>
      <c r="G104" s="5">
        <v>92.0</v>
      </c>
      <c r="H104" s="6">
        <v>1.0</v>
      </c>
      <c r="I104" s="5">
        <v>44.0</v>
      </c>
      <c r="J104" s="3" t="s">
        <v>19</v>
      </c>
      <c r="K104" s="3" t="s">
        <v>26</v>
      </c>
      <c r="L104" s="6">
        <v>0.0</v>
      </c>
    </row>
    <row r="105">
      <c r="A105" s="3" t="s">
        <v>230</v>
      </c>
      <c r="B105" s="3" t="s">
        <v>231</v>
      </c>
      <c r="C105" s="4">
        <v>45203.0</v>
      </c>
      <c r="D105" s="4">
        <v>45215.0</v>
      </c>
      <c r="E105" s="3" t="s">
        <v>14</v>
      </c>
      <c r="F105" s="5">
        <v>0.4</v>
      </c>
      <c r="G105" s="5">
        <v>30.0</v>
      </c>
      <c r="H105" s="6">
        <v>0.0</v>
      </c>
      <c r="I105" s="5">
        <v>48.0</v>
      </c>
      <c r="J105" s="3" t="s">
        <v>15</v>
      </c>
      <c r="K105" s="3" t="s">
        <v>26</v>
      </c>
      <c r="L105" s="6">
        <v>0.0</v>
      </c>
    </row>
    <row r="106">
      <c r="A106" s="3" t="s">
        <v>232</v>
      </c>
      <c r="B106" s="3" t="s">
        <v>233</v>
      </c>
      <c r="C106" s="4">
        <v>45033.0</v>
      </c>
      <c r="D106" s="4">
        <v>45045.0</v>
      </c>
      <c r="E106" s="3" t="s">
        <v>14</v>
      </c>
      <c r="F106" s="5">
        <v>3.0</v>
      </c>
      <c r="G106" s="5">
        <v>41.0</v>
      </c>
      <c r="H106" s="6">
        <v>1.0</v>
      </c>
      <c r="I106" s="5">
        <v>27.0</v>
      </c>
      <c r="J106" s="3" t="s">
        <v>19</v>
      </c>
      <c r="K106" s="3" t="s">
        <v>16</v>
      </c>
      <c r="L106" s="6">
        <v>0.0</v>
      </c>
    </row>
    <row r="107">
      <c r="A107" s="3" t="s">
        <v>234</v>
      </c>
      <c r="B107" s="3" t="s">
        <v>235</v>
      </c>
      <c r="C107" s="4">
        <v>45249.0</v>
      </c>
      <c r="D107" s="4">
        <v>45261.0</v>
      </c>
      <c r="E107" s="3" t="s">
        <v>14</v>
      </c>
      <c r="F107" s="5">
        <v>1.0</v>
      </c>
      <c r="G107" s="5">
        <v>32.0</v>
      </c>
      <c r="H107" s="6">
        <v>1.0</v>
      </c>
      <c r="I107" s="5">
        <v>32.0</v>
      </c>
      <c r="J107" s="3" t="s">
        <v>35</v>
      </c>
      <c r="K107" s="3" t="s">
        <v>26</v>
      </c>
      <c r="L107" s="6">
        <v>0.0</v>
      </c>
    </row>
    <row r="108">
      <c r="A108" s="3" t="s">
        <v>236</v>
      </c>
      <c r="B108" s="3" t="s">
        <v>237</v>
      </c>
      <c r="C108" s="4">
        <v>44979.0</v>
      </c>
      <c r="D108" s="4">
        <v>44991.0</v>
      </c>
      <c r="E108" s="3" t="s">
        <v>38</v>
      </c>
      <c r="F108" s="5">
        <v>0.2</v>
      </c>
      <c r="G108" s="5">
        <v>31.0</v>
      </c>
      <c r="H108" s="6">
        <v>0.0</v>
      </c>
      <c r="I108" s="5">
        <v>15.0</v>
      </c>
      <c r="J108" s="3" t="s">
        <v>23</v>
      </c>
      <c r="K108" s="3" t="s">
        <v>16</v>
      </c>
      <c r="L108" s="6">
        <v>1.0</v>
      </c>
    </row>
    <row r="109">
      <c r="A109" s="3" t="s">
        <v>238</v>
      </c>
      <c r="B109" s="3" t="s">
        <v>239</v>
      </c>
      <c r="C109" s="4">
        <v>45222.0</v>
      </c>
      <c r="D109" s="4">
        <v>45234.0</v>
      </c>
      <c r="E109" s="3" t="s">
        <v>29</v>
      </c>
      <c r="F109" s="5">
        <v>0.1</v>
      </c>
      <c r="G109" s="5">
        <v>14.0</v>
      </c>
      <c r="H109" s="6">
        <v>1.0</v>
      </c>
      <c r="I109" s="5">
        <v>12.0</v>
      </c>
      <c r="J109" s="3" t="s">
        <v>32</v>
      </c>
      <c r="K109" s="3" t="s">
        <v>26</v>
      </c>
      <c r="L109" s="6">
        <v>0.0</v>
      </c>
    </row>
    <row r="110">
      <c r="A110" s="3" t="s">
        <v>240</v>
      </c>
      <c r="B110" s="3" t="s">
        <v>241</v>
      </c>
      <c r="C110" s="4">
        <v>45266.0</v>
      </c>
      <c r="D110" s="4">
        <v>45278.0</v>
      </c>
      <c r="E110" s="3" t="s">
        <v>29</v>
      </c>
      <c r="F110" s="5">
        <v>3.1</v>
      </c>
      <c r="G110" s="5">
        <v>36.0</v>
      </c>
      <c r="H110" s="6">
        <v>0.0</v>
      </c>
      <c r="I110" s="5">
        <v>24.0</v>
      </c>
      <c r="J110" s="3" t="s">
        <v>19</v>
      </c>
      <c r="K110" s="3" t="s">
        <v>26</v>
      </c>
      <c r="L110" s="6">
        <v>1.0</v>
      </c>
    </row>
    <row r="111">
      <c r="A111" s="3" t="s">
        <v>242</v>
      </c>
      <c r="B111" s="3" t="s">
        <v>243</v>
      </c>
      <c r="C111" s="4">
        <v>45062.0</v>
      </c>
      <c r="D111" s="4">
        <v>45074.0</v>
      </c>
      <c r="E111" s="3" t="s">
        <v>29</v>
      </c>
      <c r="F111" s="5">
        <v>0.0</v>
      </c>
      <c r="G111" s="5">
        <v>66.0</v>
      </c>
      <c r="H111" s="6">
        <v>1.0</v>
      </c>
      <c r="I111" s="5">
        <v>17.0</v>
      </c>
      <c r="J111" s="3" t="s">
        <v>32</v>
      </c>
      <c r="K111" s="3" t="s">
        <v>16</v>
      </c>
      <c r="L111" s="6">
        <v>1.0</v>
      </c>
    </row>
    <row r="112">
      <c r="A112" s="3" t="s">
        <v>244</v>
      </c>
      <c r="B112" s="3" t="s">
        <v>245</v>
      </c>
      <c r="C112" s="4">
        <v>44958.0</v>
      </c>
      <c r="D112" s="4">
        <v>44970.0</v>
      </c>
      <c r="E112" s="3" t="s">
        <v>14</v>
      </c>
      <c r="F112" s="5">
        <v>3.9</v>
      </c>
      <c r="G112" s="5">
        <v>39.0</v>
      </c>
      <c r="H112" s="6">
        <v>0.0</v>
      </c>
      <c r="I112" s="5">
        <v>21.0</v>
      </c>
      <c r="J112" s="3" t="s">
        <v>19</v>
      </c>
      <c r="K112" s="3" t="s">
        <v>47</v>
      </c>
      <c r="L112" s="6">
        <v>1.0</v>
      </c>
    </row>
    <row r="113">
      <c r="A113" s="3" t="s">
        <v>246</v>
      </c>
      <c r="B113" s="3" t="s">
        <v>247</v>
      </c>
      <c r="C113" s="4">
        <v>45023.0</v>
      </c>
      <c r="D113" s="4">
        <v>45035.0</v>
      </c>
      <c r="E113" s="3" t="s">
        <v>29</v>
      </c>
      <c r="F113" s="5">
        <v>4.8</v>
      </c>
      <c r="G113" s="5">
        <v>12.0</v>
      </c>
      <c r="H113" s="6">
        <v>1.0</v>
      </c>
      <c r="I113" s="5">
        <v>26.0</v>
      </c>
      <c r="J113" s="3" t="s">
        <v>32</v>
      </c>
      <c r="K113" s="3" t="s">
        <v>26</v>
      </c>
      <c r="L113" s="6">
        <v>0.0</v>
      </c>
    </row>
    <row r="114">
      <c r="A114" s="3" t="s">
        <v>248</v>
      </c>
      <c r="B114" s="3" t="s">
        <v>249</v>
      </c>
      <c r="C114" s="4">
        <v>45123.0</v>
      </c>
      <c r="D114" s="4">
        <v>45135.0</v>
      </c>
      <c r="E114" s="3" t="s">
        <v>14</v>
      </c>
      <c r="F114" s="5">
        <v>4.5</v>
      </c>
      <c r="G114" s="5">
        <v>9.0</v>
      </c>
      <c r="H114" s="6">
        <v>0.0</v>
      </c>
      <c r="I114" s="5">
        <v>53.0</v>
      </c>
      <c r="J114" s="3" t="s">
        <v>35</v>
      </c>
      <c r="K114" s="3" t="s">
        <v>47</v>
      </c>
      <c r="L114" s="6">
        <v>0.0</v>
      </c>
    </row>
    <row r="115">
      <c r="A115" s="3" t="s">
        <v>250</v>
      </c>
      <c r="B115" s="3" t="s">
        <v>251</v>
      </c>
      <c r="C115" s="4">
        <v>45082.0</v>
      </c>
      <c r="D115" s="4">
        <v>45094.0</v>
      </c>
      <c r="E115" s="3" t="s">
        <v>38</v>
      </c>
      <c r="F115" s="5">
        <v>2.0</v>
      </c>
      <c r="G115" s="5">
        <v>94.0</v>
      </c>
      <c r="H115" s="6">
        <v>1.0</v>
      </c>
      <c r="I115" s="5">
        <v>47.0</v>
      </c>
      <c r="J115" s="3" t="s">
        <v>15</v>
      </c>
      <c r="K115" s="3" t="s">
        <v>16</v>
      </c>
      <c r="L115" s="6">
        <v>1.0</v>
      </c>
    </row>
    <row r="116">
      <c r="A116" s="3" t="s">
        <v>252</v>
      </c>
      <c r="B116" s="3" t="s">
        <v>253</v>
      </c>
      <c r="C116" s="4">
        <v>45079.0</v>
      </c>
      <c r="D116" s="4">
        <v>45091.0</v>
      </c>
      <c r="E116" s="3" t="s">
        <v>22</v>
      </c>
      <c r="F116" s="5">
        <v>3.3</v>
      </c>
      <c r="G116" s="5">
        <v>42.0</v>
      </c>
      <c r="H116" s="6">
        <v>0.0</v>
      </c>
      <c r="I116" s="5">
        <v>14.0</v>
      </c>
      <c r="J116" s="3" t="s">
        <v>35</v>
      </c>
      <c r="K116" s="3" t="s">
        <v>26</v>
      </c>
      <c r="L116" s="6">
        <v>0.0</v>
      </c>
    </row>
    <row r="117">
      <c r="A117" s="3" t="s">
        <v>254</v>
      </c>
      <c r="B117" s="3" t="s">
        <v>255</v>
      </c>
      <c r="C117" s="4">
        <v>45238.0</v>
      </c>
      <c r="D117" s="4">
        <v>45250.0</v>
      </c>
      <c r="E117" s="3" t="s">
        <v>14</v>
      </c>
      <c r="F117" s="5">
        <v>4.9</v>
      </c>
      <c r="G117" s="5">
        <v>61.0</v>
      </c>
      <c r="H117" s="6">
        <v>1.0</v>
      </c>
      <c r="I117" s="5">
        <v>28.0</v>
      </c>
      <c r="J117" s="3" t="s">
        <v>35</v>
      </c>
      <c r="K117" s="3" t="s">
        <v>26</v>
      </c>
      <c r="L117" s="6">
        <v>1.0</v>
      </c>
    </row>
    <row r="118">
      <c r="A118" s="3" t="s">
        <v>256</v>
      </c>
      <c r="B118" s="3" t="s">
        <v>257</v>
      </c>
      <c r="C118" s="4">
        <v>45063.0</v>
      </c>
      <c r="D118" s="4">
        <v>45075.0</v>
      </c>
      <c r="E118" s="3" t="s">
        <v>29</v>
      </c>
      <c r="F118" s="5">
        <v>2.4</v>
      </c>
      <c r="G118" s="5">
        <v>46.0</v>
      </c>
      <c r="H118" s="6">
        <v>0.0</v>
      </c>
      <c r="I118" s="5">
        <v>35.0</v>
      </c>
      <c r="J118" s="3" t="s">
        <v>32</v>
      </c>
      <c r="K118" s="3" t="s">
        <v>26</v>
      </c>
      <c r="L118" s="6">
        <v>1.0</v>
      </c>
    </row>
    <row r="119">
      <c r="A119" s="3" t="s">
        <v>258</v>
      </c>
      <c r="B119" s="3" t="s">
        <v>259</v>
      </c>
      <c r="C119" s="4">
        <v>44971.0</v>
      </c>
      <c r="D119" s="4">
        <v>44983.0</v>
      </c>
      <c r="E119" s="3" t="s">
        <v>38</v>
      </c>
      <c r="F119" s="5">
        <v>2.6</v>
      </c>
      <c r="G119" s="5">
        <v>82.0</v>
      </c>
      <c r="H119" s="6">
        <v>0.0</v>
      </c>
      <c r="I119" s="5">
        <v>25.0</v>
      </c>
      <c r="J119" s="3" t="s">
        <v>35</v>
      </c>
      <c r="K119" s="3" t="s">
        <v>16</v>
      </c>
      <c r="L119" s="6">
        <v>1.0</v>
      </c>
    </row>
    <row r="120">
      <c r="A120" s="3" t="s">
        <v>260</v>
      </c>
      <c r="B120" s="3" t="s">
        <v>261</v>
      </c>
      <c r="C120" s="4">
        <v>45236.0</v>
      </c>
      <c r="D120" s="4">
        <v>45248.0</v>
      </c>
      <c r="E120" s="3" t="s">
        <v>38</v>
      </c>
      <c r="F120" s="5">
        <v>0.7</v>
      </c>
      <c r="G120" s="5">
        <v>69.0</v>
      </c>
      <c r="H120" s="6">
        <v>1.0</v>
      </c>
      <c r="I120" s="5">
        <v>19.0</v>
      </c>
      <c r="J120" s="3" t="s">
        <v>32</v>
      </c>
      <c r="K120" s="3" t="s">
        <v>16</v>
      </c>
      <c r="L120" s="6">
        <v>0.0</v>
      </c>
    </row>
    <row r="121">
      <c r="A121" s="3" t="s">
        <v>262</v>
      </c>
      <c r="B121" s="3" t="s">
        <v>263</v>
      </c>
      <c r="C121" s="4">
        <v>45145.0</v>
      </c>
      <c r="D121" s="4">
        <v>45157.0</v>
      </c>
      <c r="E121" s="3" t="s">
        <v>29</v>
      </c>
      <c r="F121" s="5">
        <v>1.2</v>
      </c>
      <c r="G121" s="5">
        <v>49.0</v>
      </c>
      <c r="H121" s="6">
        <v>0.0</v>
      </c>
      <c r="I121" s="5">
        <v>37.0</v>
      </c>
      <c r="J121" s="3" t="s">
        <v>35</v>
      </c>
      <c r="K121" s="3" t="s">
        <v>47</v>
      </c>
      <c r="L121" s="6">
        <v>0.0</v>
      </c>
    </row>
    <row r="122">
      <c r="A122" s="3" t="s">
        <v>264</v>
      </c>
      <c r="B122" s="3" t="s">
        <v>265</v>
      </c>
      <c r="C122" s="4">
        <v>44965.0</v>
      </c>
      <c r="D122" s="4">
        <v>44977.0</v>
      </c>
      <c r="E122" s="3" t="s">
        <v>22</v>
      </c>
      <c r="F122" s="5">
        <v>1.9</v>
      </c>
      <c r="G122" s="5">
        <v>5.0</v>
      </c>
      <c r="H122" s="6">
        <v>0.0</v>
      </c>
      <c r="I122" s="5">
        <v>56.0</v>
      </c>
      <c r="J122" s="3" t="s">
        <v>23</v>
      </c>
      <c r="K122" s="3" t="s">
        <v>47</v>
      </c>
      <c r="L122" s="6">
        <v>1.0</v>
      </c>
    </row>
    <row r="123">
      <c r="A123" s="3" t="s">
        <v>266</v>
      </c>
      <c r="B123" s="3" t="s">
        <v>267</v>
      </c>
      <c r="C123" s="4">
        <v>45082.0</v>
      </c>
      <c r="D123" s="4">
        <v>45094.0</v>
      </c>
      <c r="E123" s="3" t="s">
        <v>14</v>
      </c>
      <c r="F123" s="5">
        <v>0.3</v>
      </c>
      <c r="G123" s="5">
        <v>68.0</v>
      </c>
      <c r="H123" s="6">
        <v>1.0</v>
      </c>
      <c r="I123" s="5">
        <v>16.0</v>
      </c>
      <c r="J123" s="3" t="s">
        <v>35</v>
      </c>
      <c r="K123" s="3" t="s">
        <v>47</v>
      </c>
      <c r="L123" s="6">
        <v>0.0</v>
      </c>
    </row>
    <row r="124">
      <c r="A124" s="3" t="s">
        <v>268</v>
      </c>
      <c r="B124" s="3" t="s">
        <v>269</v>
      </c>
      <c r="C124" s="4">
        <v>45153.0</v>
      </c>
      <c r="D124" s="4">
        <v>45165.0</v>
      </c>
      <c r="E124" s="3" t="s">
        <v>22</v>
      </c>
      <c r="F124" s="5">
        <v>1.5</v>
      </c>
      <c r="G124" s="5">
        <v>44.0</v>
      </c>
      <c r="H124" s="6">
        <v>1.0</v>
      </c>
      <c r="I124" s="5">
        <v>20.0</v>
      </c>
      <c r="J124" s="3" t="s">
        <v>23</v>
      </c>
      <c r="K124" s="3" t="s">
        <v>26</v>
      </c>
      <c r="L124" s="6">
        <v>1.0</v>
      </c>
    </row>
    <row r="125">
      <c r="A125" s="3" t="s">
        <v>270</v>
      </c>
      <c r="B125" s="3" t="s">
        <v>271</v>
      </c>
      <c r="C125" s="4">
        <v>44970.0</v>
      </c>
      <c r="D125" s="4">
        <v>44982.0</v>
      </c>
      <c r="E125" s="3" t="s">
        <v>29</v>
      </c>
      <c r="F125" s="5">
        <v>4.6</v>
      </c>
      <c r="G125" s="5">
        <v>33.0</v>
      </c>
      <c r="H125" s="6">
        <v>0.0</v>
      </c>
      <c r="I125" s="5">
        <v>55.0</v>
      </c>
      <c r="J125" s="3" t="s">
        <v>19</v>
      </c>
      <c r="K125" s="3" t="s">
        <v>47</v>
      </c>
      <c r="L125" s="6">
        <v>1.0</v>
      </c>
    </row>
    <row r="126">
      <c r="A126" s="3" t="s">
        <v>272</v>
      </c>
      <c r="B126" s="3" t="s">
        <v>273</v>
      </c>
      <c r="C126" s="4">
        <v>45166.0</v>
      </c>
      <c r="D126" s="4">
        <v>45178.0</v>
      </c>
      <c r="E126" s="3" t="s">
        <v>14</v>
      </c>
      <c r="F126" s="5">
        <v>2.3</v>
      </c>
      <c r="G126" s="5">
        <v>50.0</v>
      </c>
      <c r="H126" s="6">
        <v>0.0</v>
      </c>
      <c r="I126" s="5">
        <v>41.0</v>
      </c>
      <c r="J126" s="3" t="s">
        <v>32</v>
      </c>
      <c r="K126" s="3" t="s">
        <v>47</v>
      </c>
      <c r="L126" s="6">
        <v>1.0</v>
      </c>
    </row>
    <row r="127">
      <c r="A127" s="3" t="s">
        <v>274</v>
      </c>
      <c r="B127" s="3" t="s">
        <v>275</v>
      </c>
      <c r="C127" s="4">
        <v>44935.0</v>
      </c>
      <c r="D127" s="4">
        <v>44947.0</v>
      </c>
      <c r="E127" s="3" t="s">
        <v>14</v>
      </c>
      <c r="F127" s="5">
        <v>3.5</v>
      </c>
      <c r="G127" s="5">
        <v>10.0</v>
      </c>
      <c r="H127" s="6">
        <v>1.0</v>
      </c>
      <c r="I127" s="5">
        <v>42.0</v>
      </c>
      <c r="J127" s="3" t="s">
        <v>23</v>
      </c>
      <c r="K127" s="3" t="s">
        <v>47</v>
      </c>
      <c r="L127" s="6">
        <v>1.0</v>
      </c>
    </row>
    <row r="128">
      <c r="A128" s="3" t="s">
        <v>276</v>
      </c>
      <c r="B128" s="3" t="s">
        <v>277</v>
      </c>
      <c r="C128" s="4">
        <v>45095.0</v>
      </c>
      <c r="D128" s="4">
        <v>45107.0</v>
      </c>
      <c r="E128" s="3" t="s">
        <v>38</v>
      </c>
      <c r="F128" s="5">
        <v>0.6</v>
      </c>
      <c r="G128" s="5">
        <v>19.0</v>
      </c>
      <c r="H128" s="6">
        <v>0.0</v>
      </c>
      <c r="I128" s="5">
        <v>54.0</v>
      </c>
      <c r="J128" s="3" t="s">
        <v>23</v>
      </c>
      <c r="K128" s="3" t="s">
        <v>26</v>
      </c>
      <c r="L128" s="6">
        <v>1.0</v>
      </c>
    </row>
    <row r="129">
      <c r="A129" s="3" t="s">
        <v>278</v>
      </c>
      <c r="B129" s="3" t="s">
        <v>279</v>
      </c>
      <c r="C129" s="4">
        <v>45047.0</v>
      </c>
      <c r="D129" s="4">
        <v>45059.0</v>
      </c>
      <c r="E129" s="3" t="s">
        <v>29</v>
      </c>
      <c r="F129" s="5">
        <v>2.1</v>
      </c>
      <c r="G129" s="5">
        <v>47.0</v>
      </c>
      <c r="H129" s="6">
        <v>0.0</v>
      </c>
      <c r="I129" s="5">
        <v>38.0</v>
      </c>
      <c r="J129" s="3" t="s">
        <v>15</v>
      </c>
      <c r="K129" s="3" t="s">
        <v>47</v>
      </c>
      <c r="L129" s="6">
        <v>0.0</v>
      </c>
    </row>
    <row r="130">
      <c r="A130" s="3" t="s">
        <v>280</v>
      </c>
      <c r="B130" s="3" t="s">
        <v>281</v>
      </c>
      <c r="C130" s="4">
        <v>45215.0</v>
      </c>
      <c r="D130" s="4">
        <v>45227.0</v>
      </c>
      <c r="E130" s="3" t="s">
        <v>38</v>
      </c>
      <c r="F130" s="5">
        <v>3.2</v>
      </c>
      <c r="G130" s="5">
        <v>88.0</v>
      </c>
      <c r="H130" s="6">
        <v>1.0</v>
      </c>
      <c r="I130" s="5">
        <v>46.0</v>
      </c>
      <c r="J130" s="3" t="s">
        <v>32</v>
      </c>
      <c r="K130" s="3" t="s">
        <v>47</v>
      </c>
      <c r="L130" s="6">
        <v>1.0</v>
      </c>
    </row>
    <row r="131">
      <c r="A131" s="3" t="s">
        <v>282</v>
      </c>
      <c r="B131" s="3" t="s">
        <v>283</v>
      </c>
      <c r="C131" s="4">
        <v>45136.0</v>
      </c>
      <c r="D131" s="4">
        <v>45148.0</v>
      </c>
      <c r="E131" s="3" t="s">
        <v>38</v>
      </c>
      <c r="F131" s="5">
        <v>2.9</v>
      </c>
      <c r="G131" s="5">
        <v>74.0</v>
      </c>
      <c r="H131" s="6">
        <v>1.0</v>
      </c>
      <c r="I131" s="5">
        <v>30.0</v>
      </c>
      <c r="J131" s="3" t="s">
        <v>19</v>
      </c>
      <c r="K131" s="3" t="s">
        <v>47</v>
      </c>
      <c r="L131" s="6">
        <v>1.0</v>
      </c>
    </row>
    <row r="132">
      <c r="A132" s="3" t="s">
        <v>284</v>
      </c>
      <c r="B132" s="3" t="s">
        <v>285</v>
      </c>
      <c r="C132" s="4">
        <v>45131.0</v>
      </c>
      <c r="D132" s="4">
        <v>45143.0</v>
      </c>
      <c r="E132" s="3" t="s">
        <v>29</v>
      </c>
      <c r="F132" s="5">
        <v>4.2</v>
      </c>
      <c r="G132" s="5">
        <v>45.0</v>
      </c>
      <c r="H132" s="6">
        <v>1.0</v>
      </c>
      <c r="I132" s="5">
        <v>33.0</v>
      </c>
      <c r="J132" s="3" t="s">
        <v>15</v>
      </c>
      <c r="K132" s="3" t="s">
        <v>26</v>
      </c>
      <c r="L132" s="6">
        <v>1.0</v>
      </c>
    </row>
    <row r="133">
      <c r="A133" s="3" t="s">
        <v>286</v>
      </c>
      <c r="B133" s="3" t="s">
        <v>287</v>
      </c>
      <c r="C133" s="4">
        <v>44943.0</v>
      </c>
      <c r="D133" s="4">
        <v>44955.0</v>
      </c>
      <c r="E133" s="3" t="s">
        <v>14</v>
      </c>
      <c r="F133" s="5">
        <v>2.5</v>
      </c>
      <c r="G133" s="5">
        <v>87.0</v>
      </c>
      <c r="H133" s="6">
        <v>0.0</v>
      </c>
      <c r="I133" s="5">
        <v>29.0</v>
      </c>
      <c r="J133" s="3" t="s">
        <v>19</v>
      </c>
      <c r="K133" s="3" t="s">
        <v>16</v>
      </c>
      <c r="L133" s="6">
        <v>1.0</v>
      </c>
    </row>
    <row r="134">
      <c r="A134" s="3" t="s">
        <v>288</v>
      </c>
      <c r="B134" s="3" t="s">
        <v>289</v>
      </c>
      <c r="C134" s="4">
        <v>45044.0</v>
      </c>
      <c r="D134" s="4">
        <v>45056.0</v>
      </c>
      <c r="E134" s="3" t="s">
        <v>38</v>
      </c>
      <c r="F134" s="5">
        <v>0.9</v>
      </c>
      <c r="G134" s="5">
        <v>70.0</v>
      </c>
      <c r="H134" s="6">
        <v>1.0</v>
      </c>
      <c r="I134" s="5">
        <v>36.0</v>
      </c>
      <c r="J134" s="3" t="s">
        <v>35</v>
      </c>
      <c r="K134" s="3" t="s">
        <v>47</v>
      </c>
      <c r="L134" s="6">
        <v>1.0</v>
      </c>
    </row>
    <row r="135">
      <c r="A135" s="3" t="s">
        <v>290</v>
      </c>
      <c r="B135" s="3" t="s">
        <v>291</v>
      </c>
      <c r="C135" s="4">
        <v>45175.0</v>
      </c>
      <c r="D135" s="4">
        <v>45187.0</v>
      </c>
      <c r="E135" s="3" t="s">
        <v>14</v>
      </c>
      <c r="F135" s="5">
        <v>1.7</v>
      </c>
      <c r="G135" s="5">
        <v>8.0</v>
      </c>
      <c r="H135" s="6">
        <v>1.0</v>
      </c>
      <c r="I135" s="5">
        <v>40.0</v>
      </c>
      <c r="J135" s="3" t="s">
        <v>35</v>
      </c>
      <c r="K135" s="3" t="s">
        <v>26</v>
      </c>
      <c r="L135" s="6">
        <v>1.0</v>
      </c>
    </row>
    <row r="136">
      <c r="A136" s="3" t="s">
        <v>292</v>
      </c>
      <c r="B136" s="3" t="s">
        <v>293</v>
      </c>
      <c r="C136" s="4">
        <v>45258.0</v>
      </c>
      <c r="D136" s="4">
        <v>45270.0</v>
      </c>
      <c r="E136" s="3" t="s">
        <v>29</v>
      </c>
      <c r="F136" s="5">
        <v>4.4</v>
      </c>
      <c r="G136" s="5">
        <v>99.0</v>
      </c>
      <c r="H136" s="6">
        <v>0.0</v>
      </c>
      <c r="I136" s="5">
        <v>23.0</v>
      </c>
      <c r="J136" s="3" t="s">
        <v>19</v>
      </c>
      <c r="K136" s="3" t="s">
        <v>47</v>
      </c>
      <c r="L136" s="6">
        <v>0.0</v>
      </c>
    </row>
    <row r="137">
      <c r="A137" s="3" t="s">
        <v>294</v>
      </c>
      <c r="B137" s="3" t="s">
        <v>295</v>
      </c>
      <c r="C137" s="4">
        <v>45006.0</v>
      </c>
      <c r="D137" s="4">
        <v>45018.0</v>
      </c>
      <c r="E137" s="3" t="s">
        <v>38</v>
      </c>
      <c r="F137" s="5">
        <v>1.3</v>
      </c>
      <c r="G137" s="5">
        <v>56.0</v>
      </c>
      <c r="H137" s="6">
        <v>0.0</v>
      </c>
      <c r="I137" s="5">
        <v>50.0</v>
      </c>
      <c r="J137" s="3" t="s">
        <v>23</v>
      </c>
      <c r="K137" s="3" t="s">
        <v>16</v>
      </c>
      <c r="L137" s="6">
        <v>1.0</v>
      </c>
    </row>
    <row r="138">
      <c r="A138" s="3" t="s">
        <v>296</v>
      </c>
      <c r="B138" s="3" t="s">
        <v>297</v>
      </c>
      <c r="C138" s="4">
        <v>45147.0</v>
      </c>
      <c r="D138" s="4">
        <v>45159.0</v>
      </c>
      <c r="E138" s="3" t="s">
        <v>29</v>
      </c>
      <c r="F138" s="5">
        <v>3.7</v>
      </c>
      <c r="G138" s="5">
        <v>58.0</v>
      </c>
      <c r="H138" s="6">
        <v>0.0</v>
      </c>
      <c r="I138" s="5">
        <v>55.0</v>
      </c>
      <c r="J138" s="3" t="s">
        <v>19</v>
      </c>
      <c r="K138" s="3" t="s">
        <v>26</v>
      </c>
      <c r="L138" s="6">
        <v>1.0</v>
      </c>
    </row>
    <row r="139">
      <c r="A139" s="3" t="s">
        <v>298</v>
      </c>
      <c r="B139" s="3" t="s">
        <v>299</v>
      </c>
      <c r="C139" s="4">
        <v>44978.0</v>
      </c>
      <c r="D139" s="4">
        <v>44990.0</v>
      </c>
      <c r="E139" s="3" t="s">
        <v>14</v>
      </c>
      <c r="F139" s="5">
        <v>2.7</v>
      </c>
      <c r="G139" s="5">
        <v>21.0</v>
      </c>
      <c r="H139" s="6">
        <v>1.0</v>
      </c>
      <c r="I139" s="5">
        <v>20.0</v>
      </c>
      <c r="J139" s="3" t="s">
        <v>23</v>
      </c>
      <c r="K139" s="3" t="s">
        <v>26</v>
      </c>
      <c r="L139" s="6">
        <v>1.0</v>
      </c>
    </row>
    <row r="140">
      <c r="A140" s="3" t="s">
        <v>300</v>
      </c>
      <c r="B140" s="3" t="s">
        <v>301</v>
      </c>
      <c r="C140" s="4">
        <v>45147.0</v>
      </c>
      <c r="D140" s="4">
        <v>45159.0</v>
      </c>
      <c r="E140" s="3" t="s">
        <v>22</v>
      </c>
      <c r="F140" s="5">
        <v>4.7</v>
      </c>
      <c r="G140" s="5">
        <v>35.0</v>
      </c>
      <c r="H140" s="6">
        <v>1.0</v>
      </c>
      <c r="I140" s="5">
        <v>45.0</v>
      </c>
      <c r="J140" s="3" t="s">
        <v>23</v>
      </c>
      <c r="K140" s="3" t="s">
        <v>26</v>
      </c>
      <c r="L140" s="6">
        <v>1.0</v>
      </c>
    </row>
    <row r="141">
      <c r="A141" s="3" t="s">
        <v>302</v>
      </c>
      <c r="B141" s="3" t="s">
        <v>303</v>
      </c>
      <c r="C141" s="4">
        <v>44987.0</v>
      </c>
      <c r="D141" s="4">
        <v>44999.0</v>
      </c>
      <c r="E141" s="3" t="s">
        <v>38</v>
      </c>
      <c r="F141" s="5">
        <v>1.4</v>
      </c>
      <c r="G141" s="5">
        <v>43.0</v>
      </c>
      <c r="H141" s="6">
        <v>0.0</v>
      </c>
      <c r="I141" s="5">
        <v>29.0</v>
      </c>
      <c r="J141" s="3" t="s">
        <v>32</v>
      </c>
      <c r="K141" s="3" t="s">
        <v>16</v>
      </c>
      <c r="L141" s="6">
        <v>1.0</v>
      </c>
    </row>
    <row r="142">
      <c r="A142" s="3" t="s">
        <v>304</v>
      </c>
      <c r="B142" s="3" t="s">
        <v>305</v>
      </c>
      <c r="C142" s="4">
        <v>44945.0</v>
      </c>
      <c r="D142" s="4">
        <v>44957.0</v>
      </c>
      <c r="E142" s="3" t="s">
        <v>22</v>
      </c>
      <c r="F142" s="5">
        <v>4.1</v>
      </c>
      <c r="G142" s="5">
        <v>15.0</v>
      </c>
      <c r="H142" s="6">
        <v>1.0</v>
      </c>
      <c r="I142" s="5">
        <v>44.0</v>
      </c>
      <c r="J142" s="3" t="s">
        <v>19</v>
      </c>
      <c r="K142" s="3" t="s">
        <v>26</v>
      </c>
      <c r="L142" s="6">
        <v>0.0</v>
      </c>
    </row>
    <row r="143">
      <c r="A143" s="3" t="s">
        <v>306</v>
      </c>
      <c r="B143" s="3" t="s">
        <v>307</v>
      </c>
      <c r="C143" s="4">
        <v>45136.0</v>
      </c>
      <c r="D143" s="4">
        <v>45148.0</v>
      </c>
      <c r="E143" s="3" t="s">
        <v>29</v>
      </c>
      <c r="F143" s="5">
        <v>2.2</v>
      </c>
      <c r="G143" s="5">
        <v>85.0</v>
      </c>
      <c r="H143" s="6">
        <v>1.0</v>
      </c>
      <c r="I143" s="5">
        <v>21.0</v>
      </c>
      <c r="J143" s="3" t="s">
        <v>32</v>
      </c>
      <c r="K143" s="3" t="s">
        <v>26</v>
      </c>
      <c r="L143" s="6">
        <v>1.0</v>
      </c>
    </row>
    <row r="144">
      <c r="A144" s="3" t="s">
        <v>308</v>
      </c>
      <c r="B144" s="3" t="s">
        <v>309</v>
      </c>
      <c r="C144" s="4">
        <v>45080.0</v>
      </c>
      <c r="D144" s="4">
        <v>45092.0</v>
      </c>
      <c r="E144" s="3" t="s">
        <v>22</v>
      </c>
      <c r="F144" s="5">
        <v>0.5</v>
      </c>
      <c r="G144" s="5">
        <v>72.0</v>
      </c>
      <c r="H144" s="6">
        <v>1.0</v>
      </c>
      <c r="I144" s="5">
        <v>53.0</v>
      </c>
      <c r="J144" s="3" t="s">
        <v>35</v>
      </c>
      <c r="K144" s="3" t="s">
        <v>16</v>
      </c>
      <c r="L144" s="6">
        <v>0.0</v>
      </c>
    </row>
    <row r="145">
      <c r="A145" s="3" t="s">
        <v>310</v>
      </c>
      <c r="B145" s="3" t="s">
        <v>311</v>
      </c>
      <c r="C145" s="4">
        <v>44967.0</v>
      </c>
      <c r="D145" s="4">
        <v>44979.0</v>
      </c>
      <c r="E145" s="3" t="s">
        <v>38</v>
      </c>
      <c r="F145" s="5">
        <v>1.1</v>
      </c>
      <c r="G145" s="5">
        <v>25.0</v>
      </c>
      <c r="H145" s="6">
        <v>0.0</v>
      </c>
      <c r="I145" s="5">
        <v>43.0</v>
      </c>
      <c r="J145" s="3" t="s">
        <v>35</v>
      </c>
      <c r="K145" s="3" t="s">
        <v>16</v>
      </c>
      <c r="L145" s="6">
        <v>1.0</v>
      </c>
    </row>
    <row r="146">
      <c r="A146" s="3" t="s">
        <v>312</v>
      </c>
      <c r="B146" s="3" t="s">
        <v>313</v>
      </c>
      <c r="C146" s="4">
        <v>45187.0</v>
      </c>
      <c r="D146" s="4">
        <v>45199.0</v>
      </c>
      <c r="E146" s="3" t="s">
        <v>22</v>
      </c>
      <c r="F146" s="5">
        <v>3.8</v>
      </c>
      <c r="G146" s="5">
        <v>17.0</v>
      </c>
      <c r="H146" s="6">
        <v>1.0</v>
      </c>
      <c r="I146" s="5">
        <v>30.0</v>
      </c>
      <c r="J146" s="3" t="s">
        <v>15</v>
      </c>
      <c r="K146" s="3" t="s">
        <v>16</v>
      </c>
      <c r="L146" s="6">
        <v>0.0</v>
      </c>
    </row>
    <row r="147">
      <c r="A147" s="3" t="s">
        <v>314</v>
      </c>
      <c r="B147" s="3" t="s">
        <v>315</v>
      </c>
      <c r="C147" s="4">
        <v>45024.0</v>
      </c>
      <c r="D147" s="4">
        <v>45036.0</v>
      </c>
      <c r="E147" s="3" t="s">
        <v>38</v>
      </c>
      <c r="F147" s="5">
        <v>0.8</v>
      </c>
      <c r="G147" s="5">
        <v>62.0</v>
      </c>
      <c r="H147" s="6">
        <v>0.0</v>
      </c>
      <c r="I147" s="5">
        <v>51.0</v>
      </c>
      <c r="J147" s="3" t="s">
        <v>23</v>
      </c>
      <c r="K147" s="3" t="s">
        <v>47</v>
      </c>
      <c r="L147" s="6">
        <v>0.0</v>
      </c>
    </row>
    <row r="148">
      <c r="A148" s="3" t="s">
        <v>316</v>
      </c>
      <c r="B148" s="3" t="s">
        <v>317</v>
      </c>
      <c r="C148" s="4">
        <v>45013.0</v>
      </c>
      <c r="D148" s="4">
        <v>45025.0</v>
      </c>
      <c r="E148" s="3" t="s">
        <v>14</v>
      </c>
      <c r="F148" s="5">
        <v>4.0</v>
      </c>
      <c r="G148" s="5">
        <v>54.0</v>
      </c>
      <c r="H148" s="6">
        <v>0.0</v>
      </c>
      <c r="I148" s="5">
        <v>28.0</v>
      </c>
      <c r="J148" s="3" t="s">
        <v>23</v>
      </c>
      <c r="K148" s="3" t="s">
        <v>26</v>
      </c>
      <c r="L148" s="6">
        <v>1.0</v>
      </c>
    </row>
    <row r="149">
      <c r="A149" s="3" t="s">
        <v>318</v>
      </c>
      <c r="B149" s="3" t="s">
        <v>319</v>
      </c>
      <c r="C149" s="4">
        <v>45152.0</v>
      </c>
      <c r="D149" s="4">
        <v>45164.0</v>
      </c>
      <c r="E149" s="3" t="s">
        <v>14</v>
      </c>
      <c r="F149" s="5">
        <v>4.3</v>
      </c>
      <c r="G149" s="5">
        <v>78.0</v>
      </c>
      <c r="H149" s="6">
        <v>1.0</v>
      </c>
      <c r="I149" s="5">
        <v>31.0</v>
      </c>
      <c r="J149" s="3" t="s">
        <v>32</v>
      </c>
      <c r="K149" s="3" t="s">
        <v>16</v>
      </c>
      <c r="L149" s="6">
        <v>1.0</v>
      </c>
    </row>
    <row r="150">
      <c r="A150" s="3" t="s">
        <v>320</v>
      </c>
      <c r="B150" s="3" t="s">
        <v>321</v>
      </c>
      <c r="C150" s="4">
        <v>45137.0</v>
      </c>
      <c r="D150" s="4">
        <v>45149.0</v>
      </c>
      <c r="E150" s="3" t="s">
        <v>29</v>
      </c>
      <c r="F150" s="5">
        <v>2.8</v>
      </c>
      <c r="G150" s="5">
        <v>6.0</v>
      </c>
      <c r="H150" s="6">
        <v>1.0</v>
      </c>
      <c r="I150" s="5">
        <v>25.0</v>
      </c>
      <c r="J150" s="3" t="s">
        <v>35</v>
      </c>
      <c r="K150" s="3" t="s">
        <v>16</v>
      </c>
      <c r="L150" s="6">
        <v>1.0</v>
      </c>
    </row>
    <row r="151">
      <c r="A151" s="3" t="s">
        <v>322</v>
      </c>
      <c r="B151" s="3" t="s">
        <v>323</v>
      </c>
      <c r="C151" s="4">
        <v>45090.0</v>
      </c>
      <c r="D151" s="4">
        <v>45102.0</v>
      </c>
      <c r="E151" s="3" t="s">
        <v>38</v>
      </c>
      <c r="F151" s="5">
        <v>1.8</v>
      </c>
      <c r="G151" s="5">
        <v>13.0</v>
      </c>
      <c r="H151" s="6">
        <v>0.0</v>
      </c>
      <c r="I151" s="5">
        <v>42.0</v>
      </c>
      <c r="J151" s="3" t="s">
        <v>19</v>
      </c>
      <c r="K151" s="3" t="s">
        <v>16</v>
      </c>
      <c r="L151" s="6">
        <v>0.0</v>
      </c>
    </row>
    <row r="152">
      <c r="A152" s="3" t="s">
        <v>324</v>
      </c>
      <c r="B152" s="3" t="s">
        <v>325</v>
      </c>
      <c r="C152" s="4">
        <v>45167.0</v>
      </c>
      <c r="D152" s="4">
        <v>45179.0</v>
      </c>
      <c r="E152" s="3" t="s">
        <v>38</v>
      </c>
      <c r="F152" s="5">
        <v>5.0</v>
      </c>
      <c r="G152" s="5">
        <v>29.0</v>
      </c>
      <c r="H152" s="6">
        <v>1.0</v>
      </c>
      <c r="I152" s="5">
        <v>41.0</v>
      </c>
      <c r="J152" s="3" t="s">
        <v>32</v>
      </c>
      <c r="K152" s="3" t="s">
        <v>16</v>
      </c>
      <c r="L152" s="6">
        <v>1.0</v>
      </c>
    </row>
    <row r="153">
      <c r="A153" s="3" t="s">
        <v>326</v>
      </c>
      <c r="B153" s="3" t="s">
        <v>327</v>
      </c>
      <c r="C153" s="4">
        <v>45011.0</v>
      </c>
      <c r="D153" s="4">
        <v>45023.0</v>
      </c>
      <c r="E153" s="3" t="s">
        <v>38</v>
      </c>
      <c r="F153" s="5">
        <v>3.6</v>
      </c>
      <c r="G153" s="5">
        <v>23.0</v>
      </c>
      <c r="H153" s="6">
        <v>1.0</v>
      </c>
      <c r="I153" s="5">
        <v>32.0</v>
      </c>
      <c r="J153" s="3" t="s">
        <v>19</v>
      </c>
      <c r="K153" s="3" t="s">
        <v>26</v>
      </c>
      <c r="L153" s="6">
        <v>1.0</v>
      </c>
    </row>
    <row r="154">
      <c r="A154" s="3" t="s">
        <v>328</v>
      </c>
      <c r="B154" s="3" t="s">
        <v>329</v>
      </c>
      <c r="C154" s="4">
        <v>45241.0</v>
      </c>
      <c r="D154" s="4">
        <v>45253.0</v>
      </c>
      <c r="E154" s="3" t="s">
        <v>38</v>
      </c>
      <c r="F154" s="5">
        <v>1.6</v>
      </c>
      <c r="G154" s="5">
        <v>80.0</v>
      </c>
      <c r="H154" s="6">
        <v>0.0</v>
      </c>
      <c r="I154" s="5">
        <v>27.0</v>
      </c>
      <c r="J154" s="3" t="s">
        <v>35</v>
      </c>
      <c r="K154" s="3" t="s">
        <v>26</v>
      </c>
      <c r="L154" s="6">
        <v>1.0</v>
      </c>
    </row>
    <row r="155">
      <c r="A155" s="3" t="s">
        <v>330</v>
      </c>
      <c r="B155" s="3" t="s">
        <v>331</v>
      </c>
      <c r="C155" s="4">
        <v>45026.0</v>
      </c>
      <c r="D155" s="4">
        <v>45038.0</v>
      </c>
      <c r="E155" s="3" t="s">
        <v>38</v>
      </c>
      <c r="F155" s="5">
        <v>0.9</v>
      </c>
      <c r="G155" s="5">
        <v>95.0</v>
      </c>
      <c r="H155" s="6">
        <v>0.0</v>
      </c>
      <c r="I155" s="5">
        <v>40.0</v>
      </c>
      <c r="J155" s="3" t="s">
        <v>35</v>
      </c>
      <c r="K155" s="3" t="s">
        <v>47</v>
      </c>
      <c r="L155" s="6">
        <v>1.0</v>
      </c>
    </row>
    <row r="156">
      <c r="A156" s="3" t="s">
        <v>332</v>
      </c>
      <c r="B156" s="3" t="s">
        <v>333</v>
      </c>
      <c r="C156" s="4">
        <v>45030.0</v>
      </c>
      <c r="D156" s="4">
        <v>45042.0</v>
      </c>
      <c r="E156" s="3" t="s">
        <v>22</v>
      </c>
      <c r="F156" s="5">
        <v>1.0</v>
      </c>
      <c r="G156" s="5">
        <v>98.0</v>
      </c>
      <c r="H156" s="6">
        <v>1.0</v>
      </c>
      <c r="I156" s="5">
        <v>26.0</v>
      </c>
      <c r="J156" s="3" t="s">
        <v>15</v>
      </c>
      <c r="K156" s="3" t="s">
        <v>16</v>
      </c>
      <c r="L156" s="6">
        <v>1.0</v>
      </c>
    </row>
    <row r="157">
      <c r="A157" s="3" t="s">
        <v>334</v>
      </c>
      <c r="B157" s="3" t="s">
        <v>335</v>
      </c>
      <c r="C157" s="4">
        <v>44935.0</v>
      </c>
      <c r="D157" s="4">
        <v>44947.0</v>
      </c>
      <c r="E157" s="3" t="s">
        <v>14</v>
      </c>
      <c r="F157" s="5">
        <v>3.9</v>
      </c>
      <c r="G157" s="5">
        <v>4.0</v>
      </c>
      <c r="H157" s="6">
        <v>1.0</v>
      </c>
      <c r="I157" s="5">
        <v>14.0</v>
      </c>
      <c r="J157" s="3" t="s">
        <v>19</v>
      </c>
      <c r="K157" s="3" t="s">
        <v>26</v>
      </c>
      <c r="L157" s="6">
        <v>1.0</v>
      </c>
    </row>
    <row r="158">
      <c r="A158" s="3" t="s">
        <v>336</v>
      </c>
      <c r="B158" s="3" t="s">
        <v>337</v>
      </c>
      <c r="C158" s="4">
        <v>45048.0</v>
      </c>
      <c r="D158" s="4">
        <v>45060.0</v>
      </c>
      <c r="E158" s="3" t="s">
        <v>38</v>
      </c>
      <c r="F158" s="5">
        <v>3.4</v>
      </c>
      <c r="G158" s="5">
        <v>3.0</v>
      </c>
      <c r="H158" s="6">
        <v>0.0</v>
      </c>
      <c r="I158" s="5">
        <v>17.0</v>
      </c>
      <c r="J158" s="3" t="s">
        <v>23</v>
      </c>
      <c r="K158" s="3" t="s">
        <v>26</v>
      </c>
      <c r="L158" s="6">
        <v>0.0</v>
      </c>
    </row>
    <row r="159">
      <c r="A159" s="3" t="s">
        <v>338</v>
      </c>
      <c r="B159" s="3" t="s">
        <v>339</v>
      </c>
      <c r="C159" s="4">
        <v>44953.0</v>
      </c>
      <c r="D159" s="4">
        <v>44965.0</v>
      </c>
      <c r="E159" s="3" t="s">
        <v>29</v>
      </c>
      <c r="F159" s="5">
        <v>2.4</v>
      </c>
      <c r="G159" s="5">
        <v>97.0</v>
      </c>
      <c r="H159" s="6">
        <v>1.0</v>
      </c>
      <c r="I159" s="5">
        <v>24.0</v>
      </c>
      <c r="J159" s="3" t="s">
        <v>23</v>
      </c>
      <c r="K159" s="3" t="s">
        <v>16</v>
      </c>
      <c r="L159" s="6">
        <v>1.0</v>
      </c>
    </row>
    <row r="160">
      <c r="A160" s="3" t="s">
        <v>340</v>
      </c>
      <c r="B160" s="3" t="s">
        <v>341</v>
      </c>
      <c r="C160" s="4">
        <v>45031.0</v>
      </c>
      <c r="D160" s="4">
        <v>45043.0</v>
      </c>
      <c r="E160" s="3" t="s">
        <v>38</v>
      </c>
      <c r="F160" s="5">
        <v>4.6</v>
      </c>
      <c r="G160" s="5">
        <v>27.0</v>
      </c>
      <c r="H160" s="6">
        <v>1.0</v>
      </c>
      <c r="I160" s="5">
        <v>46.0</v>
      </c>
      <c r="J160" s="3" t="s">
        <v>19</v>
      </c>
      <c r="K160" s="3" t="s">
        <v>16</v>
      </c>
      <c r="L160" s="6">
        <v>0.0</v>
      </c>
    </row>
    <row r="161">
      <c r="A161" s="3" t="s">
        <v>342</v>
      </c>
      <c r="B161" s="3" t="s">
        <v>343</v>
      </c>
      <c r="C161" s="4">
        <v>45022.0</v>
      </c>
      <c r="D161" s="4">
        <v>45034.0</v>
      </c>
      <c r="E161" s="3" t="s">
        <v>14</v>
      </c>
      <c r="F161" s="5">
        <v>2.8</v>
      </c>
      <c r="G161" s="5">
        <v>11.0</v>
      </c>
      <c r="H161" s="6">
        <v>0.0</v>
      </c>
      <c r="I161" s="5">
        <v>52.0</v>
      </c>
      <c r="J161" s="3" t="s">
        <v>35</v>
      </c>
      <c r="K161" s="3" t="s">
        <v>47</v>
      </c>
      <c r="L161" s="6">
        <v>0.0</v>
      </c>
    </row>
    <row r="162">
      <c r="A162" s="3" t="s">
        <v>344</v>
      </c>
      <c r="B162" s="3" t="s">
        <v>345</v>
      </c>
      <c r="C162" s="4">
        <v>44977.0</v>
      </c>
      <c r="D162" s="4">
        <v>44989.0</v>
      </c>
      <c r="E162" s="3" t="s">
        <v>14</v>
      </c>
      <c r="F162" s="5">
        <v>4.4</v>
      </c>
      <c r="G162" s="5">
        <v>51.0</v>
      </c>
      <c r="H162" s="6">
        <v>1.0</v>
      </c>
      <c r="I162" s="5">
        <v>33.0</v>
      </c>
      <c r="J162" s="3" t="s">
        <v>19</v>
      </c>
      <c r="K162" s="3" t="s">
        <v>47</v>
      </c>
      <c r="L162" s="6">
        <v>0.0</v>
      </c>
    </row>
    <row r="163">
      <c r="A163" s="3" t="s">
        <v>346</v>
      </c>
      <c r="B163" s="3" t="s">
        <v>347</v>
      </c>
      <c r="C163" s="4">
        <v>45156.0</v>
      </c>
      <c r="D163" s="4">
        <v>45168.0</v>
      </c>
      <c r="E163" s="3" t="s">
        <v>38</v>
      </c>
      <c r="F163" s="5">
        <v>1.4</v>
      </c>
      <c r="G163" s="5">
        <v>67.0</v>
      </c>
      <c r="H163" s="6">
        <v>0.0</v>
      </c>
      <c r="I163" s="5">
        <v>16.0</v>
      </c>
      <c r="J163" s="3" t="s">
        <v>32</v>
      </c>
      <c r="K163" s="3" t="s">
        <v>16</v>
      </c>
      <c r="L163" s="6">
        <v>1.0</v>
      </c>
    </row>
    <row r="164">
      <c r="A164" s="3" t="s">
        <v>348</v>
      </c>
      <c r="B164" s="3" t="s">
        <v>349</v>
      </c>
      <c r="C164" s="4">
        <v>44946.0</v>
      </c>
      <c r="D164" s="4">
        <v>44958.0</v>
      </c>
      <c r="E164" s="3" t="s">
        <v>29</v>
      </c>
      <c r="F164" s="5">
        <v>4.9</v>
      </c>
      <c r="G164" s="5">
        <v>77.0</v>
      </c>
      <c r="H164" s="6">
        <v>1.0</v>
      </c>
      <c r="I164" s="5">
        <v>18.0</v>
      </c>
      <c r="J164" s="3" t="s">
        <v>19</v>
      </c>
      <c r="K164" s="3" t="s">
        <v>16</v>
      </c>
      <c r="L164" s="6">
        <v>1.0</v>
      </c>
    </row>
    <row r="165">
      <c r="A165" s="3" t="s">
        <v>350</v>
      </c>
      <c r="B165" s="3" t="s">
        <v>351</v>
      </c>
      <c r="C165" s="4">
        <v>45179.0</v>
      </c>
      <c r="D165" s="4">
        <v>45191.0</v>
      </c>
      <c r="E165" s="3" t="s">
        <v>38</v>
      </c>
      <c r="F165" s="5">
        <v>1.8</v>
      </c>
      <c r="G165" s="5">
        <v>89.0</v>
      </c>
      <c r="H165" s="6">
        <v>1.0</v>
      </c>
      <c r="I165" s="5">
        <v>22.0</v>
      </c>
      <c r="J165" s="3" t="s">
        <v>35</v>
      </c>
      <c r="K165" s="3" t="s">
        <v>26</v>
      </c>
      <c r="L165" s="6">
        <v>1.0</v>
      </c>
    </row>
    <row r="166">
      <c r="A166" s="3" t="s">
        <v>352</v>
      </c>
      <c r="B166" s="3" t="s">
        <v>353</v>
      </c>
      <c r="C166" s="4">
        <v>45214.0</v>
      </c>
      <c r="D166" s="4">
        <v>45226.0</v>
      </c>
      <c r="E166" s="3" t="s">
        <v>22</v>
      </c>
      <c r="F166" s="5">
        <v>2.7</v>
      </c>
      <c r="G166" s="5">
        <v>84.0</v>
      </c>
      <c r="H166" s="6">
        <v>0.0</v>
      </c>
      <c r="I166" s="5">
        <v>54.0</v>
      </c>
      <c r="J166" s="3" t="s">
        <v>35</v>
      </c>
      <c r="K166" s="3" t="s">
        <v>47</v>
      </c>
      <c r="L166" s="6">
        <v>1.0</v>
      </c>
    </row>
    <row r="167">
      <c r="A167" s="3" t="s">
        <v>354</v>
      </c>
      <c r="B167" s="3" t="s">
        <v>355</v>
      </c>
      <c r="C167" s="4">
        <v>45220.0</v>
      </c>
      <c r="D167" s="4">
        <v>45232.0</v>
      </c>
      <c r="E167" s="3" t="s">
        <v>29</v>
      </c>
      <c r="F167" s="5">
        <v>0.1</v>
      </c>
      <c r="G167" s="5">
        <v>18.0</v>
      </c>
      <c r="H167" s="6">
        <v>1.0</v>
      </c>
      <c r="I167" s="5">
        <v>48.0</v>
      </c>
      <c r="J167" s="3" t="s">
        <v>23</v>
      </c>
      <c r="K167" s="3" t="s">
        <v>47</v>
      </c>
      <c r="L167" s="6">
        <v>0.0</v>
      </c>
    </row>
    <row r="168">
      <c r="A168" s="3" t="s">
        <v>356</v>
      </c>
      <c r="B168" s="3" t="s">
        <v>357</v>
      </c>
      <c r="C168" s="4">
        <v>45066.0</v>
      </c>
      <c r="D168" s="4">
        <v>45078.0</v>
      </c>
      <c r="E168" s="3" t="s">
        <v>38</v>
      </c>
      <c r="F168" s="5">
        <v>2.0</v>
      </c>
      <c r="G168" s="5">
        <v>63.0</v>
      </c>
      <c r="H168" s="6">
        <v>1.0</v>
      </c>
      <c r="I168" s="5">
        <v>35.0</v>
      </c>
      <c r="J168" s="3" t="s">
        <v>32</v>
      </c>
      <c r="K168" s="3" t="s">
        <v>26</v>
      </c>
      <c r="L168" s="6">
        <v>0.0</v>
      </c>
    </row>
    <row r="169">
      <c r="A169" s="3" t="s">
        <v>358</v>
      </c>
      <c r="B169" s="3" t="s">
        <v>359</v>
      </c>
      <c r="C169" s="4">
        <v>45262.0</v>
      </c>
      <c r="D169" s="4">
        <v>45274.0</v>
      </c>
      <c r="E169" s="3" t="s">
        <v>29</v>
      </c>
      <c r="F169" s="5">
        <v>5.0</v>
      </c>
      <c r="G169" s="5">
        <v>93.0</v>
      </c>
      <c r="H169" s="6">
        <v>1.0</v>
      </c>
      <c r="I169" s="5">
        <v>19.0</v>
      </c>
      <c r="J169" s="3" t="s">
        <v>19</v>
      </c>
      <c r="K169" s="3" t="s">
        <v>16</v>
      </c>
      <c r="L169" s="6">
        <v>1.0</v>
      </c>
    </row>
    <row r="170">
      <c r="A170" s="3" t="s">
        <v>360</v>
      </c>
      <c r="B170" s="3" t="s">
        <v>361</v>
      </c>
      <c r="C170" s="4">
        <v>45236.0</v>
      </c>
      <c r="D170" s="4">
        <v>45248.0</v>
      </c>
      <c r="E170" s="3" t="s">
        <v>38</v>
      </c>
      <c r="F170" s="5">
        <v>0.3</v>
      </c>
      <c r="G170" s="5">
        <v>38.0</v>
      </c>
      <c r="H170" s="6">
        <v>1.0</v>
      </c>
      <c r="I170" s="5">
        <v>49.0</v>
      </c>
      <c r="J170" s="3" t="s">
        <v>35</v>
      </c>
      <c r="K170" s="3" t="s">
        <v>47</v>
      </c>
      <c r="L170" s="6">
        <v>0.0</v>
      </c>
    </row>
    <row r="171">
      <c r="A171" s="3" t="s">
        <v>362</v>
      </c>
      <c r="B171" s="3" t="s">
        <v>363</v>
      </c>
      <c r="C171" s="4">
        <v>45059.0</v>
      </c>
      <c r="D171" s="4">
        <v>45071.0</v>
      </c>
      <c r="E171" s="3" t="s">
        <v>29</v>
      </c>
      <c r="F171" s="5">
        <v>4.5</v>
      </c>
      <c r="G171" s="5">
        <v>76.0</v>
      </c>
      <c r="H171" s="6">
        <v>0.0</v>
      </c>
      <c r="I171" s="5">
        <v>12.0</v>
      </c>
      <c r="J171" s="3" t="s">
        <v>23</v>
      </c>
      <c r="K171" s="3" t="s">
        <v>47</v>
      </c>
      <c r="L171" s="6">
        <v>0.0</v>
      </c>
    </row>
    <row r="172">
      <c r="A172" s="3" t="s">
        <v>364</v>
      </c>
      <c r="B172" s="3" t="s">
        <v>365</v>
      </c>
      <c r="C172" s="4">
        <v>45169.0</v>
      </c>
      <c r="D172" s="4">
        <v>45181.0</v>
      </c>
      <c r="E172" s="3" t="s">
        <v>29</v>
      </c>
      <c r="F172" s="5">
        <v>4.8</v>
      </c>
      <c r="G172" s="5">
        <v>28.0</v>
      </c>
      <c r="H172" s="6">
        <v>0.0</v>
      </c>
      <c r="I172" s="5">
        <v>39.0</v>
      </c>
      <c r="J172" s="3" t="s">
        <v>35</v>
      </c>
      <c r="K172" s="3" t="s">
        <v>16</v>
      </c>
      <c r="L172" s="6">
        <v>1.0</v>
      </c>
    </row>
    <row r="173">
      <c r="A173" s="3" t="s">
        <v>366</v>
      </c>
      <c r="B173" s="3" t="s">
        <v>367</v>
      </c>
      <c r="C173" s="4">
        <v>44952.0</v>
      </c>
      <c r="D173" s="4">
        <v>44964.0</v>
      </c>
      <c r="E173" s="3" t="s">
        <v>14</v>
      </c>
      <c r="F173" s="5">
        <v>4.2</v>
      </c>
      <c r="G173" s="5">
        <v>22.0</v>
      </c>
      <c r="H173" s="6">
        <v>1.0</v>
      </c>
      <c r="I173" s="5">
        <v>23.0</v>
      </c>
      <c r="J173" s="3" t="s">
        <v>15</v>
      </c>
      <c r="K173" s="3" t="s">
        <v>47</v>
      </c>
      <c r="L173" s="6">
        <v>1.0</v>
      </c>
    </row>
    <row r="174">
      <c r="A174" s="3" t="s">
        <v>368</v>
      </c>
      <c r="B174" s="3" t="s">
        <v>369</v>
      </c>
      <c r="C174" s="4">
        <v>45003.0</v>
      </c>
      <c r="D174" s="4">
        <v>45015.0</v>
      </c>
      <c r="E174" s="3" t="s">
        <v>29</v>
      </c>
      <c r="F174" s="5">
        <v>1.3</v>
      </c>
      <c r="G174" s="5">
        <v>64.0</v>
      </c>
      <c r="H174" s="6">
        <v>0.0</v>
      </c>
      <c r="I174" s="5">
        <v>36.0</v>
      </c>
      <c r="J174" s="3" t="s">
        <v>32</v>
      </c>
      <c r="K174" s="3" t="s">
        <v>26</v>
      </c>
      <c r="L174" s="6">
        <v>1.0</v>
      </c>
    </row>
    <row r="175">
      <c r="A175" s="3" t="s">
        <v>370</v>
      </c>
      <c r="B175" s="3" t="s">
        <v>371</v>
      </c>
      <c r="C175" s="4">
        <v>45183.0</v>
      </c>
      <c r="D175" s="4">
        <v>45195.0</v>
      </c>
      <c r="E175" s="3" t="s">
        <v>29</v>
      </c>
      <c r="F175" s="5">
        <v>4.3</v>
      </c>
      <c r="G175" s="5">
        <v>91.0</v>
      </c>
      <c r="H175" s="6">
        <v>1.0</v>
      </c>
      <c r="I175" s="5">
        <v>34.0</v>
      </c>
      <c r="J175" s="3" t="s">
        <v>32</v>
      </c>
      <c r="K175" s="3" t="s">
        <v>26</v>
      </c>
      <c r="L175" s="6">
        <v>0.0</v>
      </c>
    </row>
    <row r="176">
      <c r="A176" s="3" t="s">
        <v>372</v>
      </c>
      <c r="B176" s="3" t="s">
        <v>373</v>
      </c>
      <c r="C176" s="4">
        <v>45279.0</v>
      </c>
      <c r="D176" s="4">
        <v>45291.0</v>
      </c>
      <c r="E176" s="3" t="s">
        <v>38</v>
      </c>
      <c r="F176" s="5">
        <v>4.7</v>
      </c>
      <c r="G176" s="5">
        <v>2.0</v>
      </c>
      <c r="H176" s="6">
        <v>0.0</v>
      </c>
      <c r="I176" s="5">
        <v>13.0</v>
      </c>
      <c r="J176" s="3" t="s">
        <v>15</v>
      </c>
      <c r="K176" s="3" t="s">
        <v>16</v>
      </c>
      <c r="L176" s="6">
        <v>1.0</v>
      </c>
    </row>
    <row r="177">
      <c r="A177" s="3" t="s">
        <v>374</v>
      </c>
      <c r="B177" s="3" t="s">
        <v>375</v>
      </c>
      <c r="C177" s="4">
        <v>45154.0</v>
      </c>
      <c r="D177" s="4">
        <v>45166.0</v>
      </c>
      <c r="E177" s="3" t="s">
        <v>14</v>
      </c>
      <c r="F177" s="5">
        <v>0.8</v>
      </c>
      <c r="G177" s="5">
        <v>48.0</v>
      </c>
      <c r="H177" s="6">
        <v>1.0</v>
      </c>
      <c r="I177" s="5">
        <v>15.0</v>
      </c>
      <c r="J177" s="3" t="s">
        <v>15</v>
      </c>
      <c r="K177" s="3" t="s">
        <v>16</v>
      </c>
      <c r="L177" s="6">
        <v>1.0</v>
      </c>
    </row>
    <row r="178">
      <c r="A178" s="3" t="s">
        <v>376</v>
      </c>
      <c r="B178" s="3" t="s">
        <v>377</v>
      </c>
      <c r="C178" s="4">
        <v>45287.0</v>
      </c>
      <c r="D178" s="4">
        <v>45299.0</v>
      </c>
      <c r="E178" s="3" t="s">
        <v>38</v>
      </c>
      <c r="F178" s="5">
        <v>2.9</v>
      </c>
      <c r="G178" s="5">
        <v>53.0</v>
      </c>
      <c r="H178" s="6">
        <v>0.0</v>
      </c>
      <c r="I178" s="5">
        <v>37.0</v>
      </c>
      <c r="J178" s="3" t="s">
        <v>35</v>
      </c>
      <c r="K178" s="3" t="s">
        <v>16</v>
      </c>
      <c r="L178" s="6">
        <v>1.0</v>
      </c>
    </row>
    <row r="179">
      <c r="A179" s="3" t="s">
        <v>378</v>
      </c>
      <c r="B179" s="3" t="s">
        <v>379</v>
      </c>
      <c r="C179" s="4">
        <v>45010.0</v>
      </c>
      <c r="D179" s="4">
        <v>45022.0</v>
      </c>
      <c r="E179" s="3" t="s">
        <v>38</v>
      </c>
      <c r="F179" s="5">
        <v>0.0</v>
      </c>
      <c r="G179" s="5">
        <v>37.0</v>
      </c>
      <c r="H179" s="6">
        <v>1.0</v>
      </c>
      <c r="I179" s="5">
        <v>47.0</v>
      </c>
      <c r="J179" s="3" t="s">
        <v>23</v>
      </c>
      <c r="K179" s="3" t="s">
        <v>26</v>
      </c>
      <c r="L179" s="6">
        <v>0.0</v>
      </c>
    </row>
    <row r="180">
      <c r="A180" s="3" t="s">
        <v>380</v>
      </c>
      <c r="B180" s="3" t="s">
        <v>381</v>
      </c>
      <c r="C180" s="4">
        <v>45050.0</v>
      </c>
      <c r="D180" s="4">
        <v>45062.0</v>
      </c>
      <c r="E180" s="3" t="s">
        <v>22</v>
      </c>
      <c r="F180" s="5">
        <v>1.6</v>
      </c>
      <c r="G180" s="5">
        <v>20.0</v>
      </c>
      <c r="H180" s="6">
        <v>1.0</v>
      </c>
      <c r="I180" s="5">
        <v>38.0</v>
      </c>
      <c r="J180" s="3" t="s">
        <v>35</v>
      </c>
      <c r="K180" s="3" t="s">
        <v>16</v>
      </c>
      <c r="L180" s="6">
        <v>0.0</v>
      </c>
    </row>
    <row r="181">
      <c r="A181" s="3" t="s">
        <v>382</v>
      </c>
      <c r="B181" s="3" t="s">
        <v>383</v>
      </c>
      <c r="C181" s="4">
        <v>45026.0</v>
      </c>
      <c r="D181" s="4">
        <v>45038.0</v>
      </c>
      <c r="E181" s="3" t="s">
        <v>38</v>
      </c>
      <c r="F181" s="5">
        <v>1.1</v>
      </c>
      <c r="G181" s="5">
        <v>16.0</v>
      </c>
      <c r="H181" s="6">
        <v>0.0</v>
      </c>
      <c r="I181" s="5">
        <v>56.0</v>
      </c>
      <c r="J181" s="3" t="s">
        <v>35</v>
      </c>
      <c r="K181" s="3" t="s">
        <v>16</v>
      </c>
      <c r="L181" s="6">
        <v>0.0</v>
      </c>
    </row>
    <row r="182">
      <c r="A182" s="3" t="s">
        <v>384</v>
      </c>
      <c r="B182" s="3" t="s">
        <v>385</v>
      </c>
      <c r="C182" s="4">
        <v>45276.0</v>
      </c>
      <c r="D182" s="4">
        <v>45288.0</v>
      </c>
      <c r="E182" s="3" t="s">
        <v>22</v>
      </c>
      <c r="F182" s="5">
        <v>3.6</v>
      </c>
      <c r="G182" s="5">
        <v>73.0</v>
      </c>
      <c r="H182" s="6">
        <v>0.0</v>
      </c>
      <c r="I182" s="5">
        <v>54.0</v>
      </c>
      <c r="J182" s="3" t="s">
        <v>19</v>
      </c>
      <c r="K182" s="3" t="s">
        <v>26</v>
      </c>
      <c r="L182" s="6">
        <v>0.0</v>
      </c>
    </row>
    <row r="183">
      <c r="A183" s="3" t="s">
        <v>386</v>
      </c>
      <c r="B183" s="3" t="s">
        <v>387</v>
      </c>
      <c r="C183" s="4">
        <v>45142.0</v>
      </c>
      <c r="D183" s="4">
        <v>45154.0</v>
      </c>
      <c r="E183" s="3" t="s">
        <v>38</v>
      </c>
      <c r="F183" s="5">
        <v>1.7</v>
      </c>
      <c r="G183" s="5">
        <v>1.0</v>
      </c>
      <c r="H183" s="6">
        <v>1.0</v>
      </c>
      <c r="I183" s="5">
        <v>45.0</v>
      </c>
      <c r="J183" s="3" t="s">
        <v>19</v>
      </c>
      <c r="K183" s="3" t="s">
        <v>47</v>
      </c>
      <c r="L183" s="6">
        <v>0.0</v>
      </c>
    </row>
    <row r="184">
      <c r="A184" s="3" t="s">
        <v>388</v>
      </c>
      <c r="B184" s="3" t="s">
        <v>389</v>
      </c>
      <c r="C184" s="4">
        <v>45208.0</v>
      </c>
      <c r="D184" s="4">
        <v>45220.0</v>
      </c>
      <c r="E184" s="3" t="s">
        <v>14</v>
      </c>
      <c r="F184" s="5">
        <v>0.5</v>
      </c>
      <c r="G184" s="5">
        <v>71.0</v>
      </c>
      <c r="H184" s="6">
        <v>0.0</v>
      </c>
      <c r="I184" s="5">
        <v>21.0</v>
      </c>
      <c r="J184" s="3" t="s">
        <v>15</v>
      </c>
      <c r="K184" s="3" t="s">
        <v>16</v>
      </c>
      <c r="L184" s="6">
        <v>1.0</v>
      </c>
    </row>
    <row r="185">
      <c r="A185" s="3" t="s">
        <v>390</v>
      </c>
      <c r="B185" s="3" t="s">
        <v>391</v>
      </c>
      <c r="C185" s="4">
        <v>45139.0</v>
      </c>
      <c r="D185" s="4">
        <v>45151.0</v>
      </c>
      <c r="E185" s="3" t="s">
        <v>29</v>
      </c>
      <c r="F185" s="5">
        <v>3.8</v>
      </c>
      <c r="G185" s="5">
        <v>55.0</v>
      </c>
      <c r="H185" s="6">
        <v>1.0</v>
      </c>
      <c r="I185" s="5">
        <v>36.0</v>
      </c>
      <c r="J185" s="3" t="s">
        <v>23</v>
      </c>
      <c r="K185" s="3" t="s">
        <v>26</v>
      </c>
      <c r="L185" s="6">
        <v>0.0</v>
      </c>
    </row>
    <row r="186">
      <c r="A186" s="3" t="s">
        <v>392</v>
      </c>
      <c r="B186" s="3" t="s">
        <v>393</v>
      </c>
      <c r="C186" s="4">
        <v>45255.0</v>
      </c>
      <c r="D186" s="4">
        <v>45267.0</v>
      </c>
      <c r="E186" s="3" t="s">
        <v>14</v>
      </c>
      <c r="F186" s="5">
        <v>4.0</v>
      </c>
      <c r="G186" s="5">
        <v>59.0</v>
      </c>
      <c r="H186" s="6">
        <v>0.0</v>
      </c>
      <c r="I186" s="5">
        <v>26.0</v>
      </c>
      <c r="J186" s="3" t="s">
        <v>19</v>
      </c>
      <c r="K186" s="3" t="s">
        <v>26</v>
      </c>
      <c r="L186" s="6">
        <v>1.0</v>
      </c>
    </row>
    <row r="187">
      <c r="A187" s="3" t="s">
        <v>394</v>
      </c>
      <c r="B187" s="3" t="s">
        <v>395</v>
      </c>
      <c r="C187" s="4">
        <v>44965.0</v>
      </c>
      <c r="D187" s="4">
        <v>44977.0</v>
      </c>
      <c r="E187" s="3" t="s">
        <v>22</v>
      </c>
      <c r="F187" s="5">
        <v>4.1</v>
      </c>
      <c r="G187" s="5">
        <v>86.0</v>
      </c>
      <c r="H187" s="6">
        <v>0.0</v>
      </c>
      <c r="I187" s="5">
        <v>52.0</v>
      </c>
      <c r="J187" s="3" t="s">
        <v>15</v>
      </c>
      <c r="K187" s="3" t="s">
        <v>16</v>
      </c>
      <c r="L187" s="6">
        <v>1.0</v>
      </c>
    </row>
    <row r="188">
      <c r="A188" s="3" t="s">
        <v>396</v>
      </c>
      <c r="B188" s="3" t="s">
        <v>397</v>
      </c>
      <c r="C188" s="4">
        <v>45158.0</v>
      </c>
      <c r="D188" s="4">
        <v>45170.0</v>
      </c>
      <c r="E188" s="3" t="s">
        <v>29</v>
      </c>
      <c r="F188" s="5">
        <v>0.7</v>
      </c>
      <c r="G188" s="5">
        <v>7.0</v>
      </c>
      <c r="H188" s="6">
        <v>1.0</v>
      </c>
      <c r="I188" s="5">
        <v>49.0</v>
      </c>
      <c r="J188" s="3" t="s">
        <v>35</v>
      </c>
      <c r="K188" s="3" t="s">
        <v>47</v>
      </c>
      <c r="L188" s="6">
        <v>1.0</v>
      </c>
    </row>
    <row r="189">
      <c r="A189" s="3" t="s">
        <v>398</v>
      </c>
      <c r="B189" s="3" t="s">
        <v>399</v>
      </c>
      <c r="C189" s="4">
        <v>45233.0</v>
      </c>
      <c r="D189" s="4">
        <v>45245.0</v>
      </c>
      <c r="E189" s="3" t="s">
        <v>38</v>
      </c>
      <c r="F189" s="5">
        <v>2.6</v>
      </c>
      <c r="G189" s="5">
        <v>40.0</v>
      </c>
      <c r="H189" s="6">
        <v>1.0</v>
      </c>
      <c r="I189" s="5">
        <v>23.0</v>
      </c>
      <c r="J189" s="3" t="s">
        <v>19</v>
      </c>
      <c r="K189" s="3" t="s">
        <v>26</v>
      </c>
      <c r="L189" s="6">
        <v>1.0</v>
      </c>
    </row>
    <row r="190">
      <c r="A190" s="3" t="s">
        <v>400</v>
      </c>
      <c r="B190" s="3" t="s">
        <v>401</v>
      </c>
      <c r="C190" s="4">
        <v>45070.0</v>
      </c>
      <c r="D190" s="4">
        <v>45082.0</v>
      </c>
      <c r="E190" s="3" t="s">
        <v>14</v>
      </c>
      <c r="F190" s="5">
        <v>2.1</v>
      </c>
      <c r="G190" s="5">
        <v>24.0</v>
      </c>
      <c r="H190" s="6">
        <v>1.0</v>
      </c>
      <c r="I190" s="5">
        <v>50.0</v>
      </c>
      <c r="J190" s="3" t="s">
        <v>35</v>
      </c>
      <c r="K190" s="3" t="s">
        <v>26</v>
      </c>
      <c r="L190" s="6">
        <v>0.0</v>
      </c>
    </row>
    <row r="191">
      <c r="A191" s="3" t="s">
        <v>402</v>
      </c>
      <c r="B191" s="3" t="s">
        <v>403</v>
      </c>
      <c r="C191" s="4">
        <v>45130.0</v>
      </c>
      <c r="D191" s="4">
        <v>45142.0</v>
      </c>
      <c r="E191" s="3" t="s">
        <v>38</v>
      </c>
      <c r="F191" s="5">
        <v>1.9</v>
      </c>
      <c r="G191" s="5">
        <v>26.0</v>
      </c>
      <c r="H191" s="6">
        <v>1.0</v>
      </c>
      <c r="I191" s="5">
        <v>56.0</v>
      </c>
      <c r="J191" s="3" t="s">
        <v>32</v>
      </c>
      <c r="K191" s="3" t="s">
        <v>26</v>
      </c>
      <c r="L191" s="6">
        <v>0.0</v>
      </c>
    </row>
    <row r="192">
      <c r="A192" s="3" t="s">
        <v>404</v>
      </c>
      <c r="B192" s="3" t="s">
        <v>405</v>
      </c>
      <c r="C192" s="4">
        <v>45209.0</v>
      </c>
      <c r="D192" s="4">
        <v>45221.0</v>
      </c>
      <c r="E192" s="3" t="s">
        <v>38</v>
      </c>
      <c r="F192" s="5">
        <v>0.2</v>
      </c>
      <c r="G192" s="5">
        <v>83.0</v>
      </c>
      <c r="H192" s="6">
        <v>1.0</v>
      </c>
      <c r="I192" s="5">
        <v>33.0</v>
      </c>
      <c r="J192" s="3" t="s">
        <v>19</v>
      </c>
      <c r="K192" s="3" t="s">
        <v>26</v>
      </c>
      <c r="L192" s="6">
        <v>1.0</v>
      </c>
    </row>
    <row r="193">
      <c r="A193" s="3" t="s">
        <v>406</v>
      </c>
      <c r="B193" s="3" t="s">
        <v>407</v>
      </c>
      <c r="C193" s="4">
        <v>45002.0</v>
      </c>
      <c r="D193" s="4">
        <v>45014.0</v>
      </c>
      <c r="E193" s="3" t="s">
        <v>38</v>
      </c>
      <c r="F193" s="5">
        <v>3.5</v>
      </c>
      <c r="G193" s="5">
        <v>81.0</v>
      </c>
      <c r="H193" s="6">
        <v>1.0</v>
      </c>
      <c r="I193" s="5">
        <v>53.0</v>
      </c>
      <c r="J193" s="3" t="s">
        <v>35</v>
      </c>
      <c r="K193" s="3" t="s">
        <v>16</v>
      </c>
      <c r="L193" s="6">
        <v>1.0</v>
      </c>
    </row>
    <row r="194">
      <c r="A194" s="3" t="s">
        <v>408</v>
      </c>
      <c r="B194" s="3" t="s">
        <v>409</v>
      </c>
      <c r="C194" s="4">
        <v>45209.0</v>
      </c>
      <c r="D194" s="4">
        <v>45221.0</v>
      </c>
      <c r="E194" s="3" t="s">
        <v>38</v>
      </c>
      <c r="F194" s="5">
        <v>3.7</v>
      </c>
      <c r="G194" s="5">
        <v>75.0</v>
      </c>
      <c r="H194" s="6">
        <v>0.0</v>
      </c>
      <c r="I194" s="5">
        <v>31.0</v>
      </c>
      <c r="J194" s="3" t="s">
        <v>35</v>
      </c>
      <c r="K194" s="3" t="s">
        <v>26</v>
      </c>
      <c r="L194" s="6">
        <v>1.0</v>
      </c>
    </row>
    <row r="195">
      <c r="A195" s="3" t="s">
        <v>410</v>
      </c>
      <c r="B195" s="3" t="s">
        <v>411</v>
      </c>
      <c r="C195" s="4">
        <v>45211.0</v>
      </c>
      <c r="D195" s="4">
        <v>45223.0</v>
      </c>
      <c r="E195" s="3" t="s">
        <v>29</v>
      </c>
      <c r="F195" s="5">
        <v>2.3</v>
      </c>
      <c r="G195" s="5">
        <v>60.0</v>
      </c>
      <c r="H195" s="6">
        <v>0.0</v>
      </c>
      <c r="I195" s="5">
        <v>32.0</v>
      </c>
      <c r="J195" s="3" t="s">
        <v>32</v>
      </c>
      <c r="K195" s="3" t="s">
        <v>16</v>
      </c>
      <c r="L195" s="6">
        <v>0.0</v>
      </c>
    </row>
    <row r="196">
      <c r="A196" s="3" t="s">
        <v>412</v>
      </c>
      <c r="B196" s="3" t="s">
        <v>413</v>
      </c>
      <c r="C196" s="4">
        <v>45252.0</v>
      </c>
      <c r="D196" s="4">
        <v>45264.0</v>
      </c>
      <c r="E196" s="3" t="s">
        <v>29</v>
      </c>
      <c r="F196" s="5">
        <v>1.5</v>
      </c>
      <c r="G196" s="5">
        <v>34.0</v>
      </c>
      <c r="H196" s="6">
        <v>0.0</v>
      </c>
      <c r="I196" s="5">
        <v>20.0</v>
      </c>
      <c r="J196" s="3" t="s">
        <v>35</v>
      </c>
      <c r="K196" s="3" t="s">
        <v>26</v>
      </c>
      <c r="L196" s="6">
        <v>1.0</v>
      </c>
    </row>
    <row r="197">
      <c r="A197" s="3" t="s">
        <v>414</v>
      </c>
      <c r="B197" s="3" t="s">
        <v>415</v>
      </c>
      <c r="C197" s="4">
        <v>44984.0</v>
      </c>
      <c r="D197" s="4">
        <v>44996.0</v>
      </c>
      <c r="E197" s="3" t="s">
        <v>22</v>
      </c>
      <c r="F197" s="5">
        <v>1.2</v>
      </c>
      <c r="G197" s="5">
        <v>96.0</v>
      </c>
      <c r="H197" s="6">
        <v>1.0</v>
      </c>
      <c r="I197" s="5">
        <v>28.0</v>
      </c>
      <c r="J197" s="3" t="s">
        <v>23</v>
      </c>
      <c r="K197" s="3" t="s">
        <v>26</v>
      </c>
      <c r="L197" s="6">
        <v>1.0</v>
      </c>
    </row>
    <row r="198">
      <c r="A198" s="3" t="s">
        <v>416</v>
      </c>
      <c r="B198" s="3" t="s">
        <v>417</v>
      </c>
      <c r="C198" s="4">
        <v>44940.0</v>
      </c>
      <c r="D198" s="4">
        <v>44952.0</v>
      </c>
      <c r="E198" s="3" t="s">
        <v>22</v>
      </c>
      <c r="F198" s="5">
        <v>2.2</v>
      </c>
      <c r="G198" s="5">
        <v>57.0</v>
      </c>
      <c r="H198" s="6">
        <v>1.0</v>
      </c>
      <c r="I198" s="5">
        <v>22.0</v>
      </c>
      <c r="J198" s="3" t="s">
        <v>35</v>
      </c>
      <c r="K198" s="3" t="s">
        <v>16</v>
      </c>
      <c r="L198" s="6">
        <v>0.0</v>
      </c>
    </row>
    <row r="199">
      <c r="A199" s="3" t="s">
        <v>418</v>
      </c>
      <c r="B199" s="3" t="s">
        <v>419</v>
      </c>
      <c r="C199" s="4">
        <v>45205.0</v>
      </c>
      <c r="D199" s="4">
        <v>45217.0</v>
      </c>
      <c r="E199" s="3" t="s">
        <v>29</v>
      </c>
      <c r="F199" s="5">
        <v>3.2</v>
      </c>
      <c r="G199" s="5">
        <v>90.0</v>
      </c>
      <c r="H199" s="6">
        <v>1.0</v>
      </c>
      <c r="I199" s="5">
        <v>12.0</v>
      </c>
      <c r="J199" s="3" t="s">
        <v>35</v>
      </c>
      <c r="K199" s="3" t="s">
        <v>26</v>
      </c>
      <c r="L199" s="6">
        <v>1.0</v>
      </c>
    </row>
    <row r="200">
      <c r="A200" s="3" t="s">
        <v>420</v>
      </c>
      <c r="B200" s="3" t="s">
        <v>421</v>
      </c>
      <c r="C200" s="4">
        <v>45178.0</v>
      </c>
      <c r="D200" s="4">
        <v>45190.0</v>
      </c>
      <c r="E200" s="3" t="s">
        <v>38</v>
      </c>
      <c r="F200" s="5">
        <v>0.4</v>
      </c>
      <c r="G200" s="5">
        <v>65.0</v>
      </c>
      <c r="H200" s="6">
        <v>0.0</v>
      </c>
      <c r="I200" s="5">
        <v>51.0</v>
      </c>
      <c r="J200" s="3" t="s">
        <v>23</v>
      </c>
      <c r="K200" s="3" t="s">
        <v>26</v>
      </c>
      <c r="L200" s="6">
        <v>0.0</v>
      </c>
    </row>
    <row r="201">
      <c r="A201" s="3" t="s">
        <v>422</v>
      </c>
      <c r="B201" s="3" t="s">
        <v>423</v>
      </c>
      <c r="C201" s="4">
        <v>45178.0</v>
      </c>
      <c r="D201" s="4">
        <v>45190.0</v>
      </c>
      <c r="E201" s="3" t="s">
        <v>29</v>
      </c>
      <c r="F201" s="5">
        <v>0.6</v>
      </c>
      <c r="G201" s="5">
        <v>79.0</v>
      </c>
      <c r="H201" s="6">
        <v>0.0</v>
      </c>
      <c r="I201" s="5">
        <v>41.0</v>
      </c>
      <c r="J201" s="3" t="s">
        <v>35</v>
      </c>
      <c r="K201" s="3" t="s">
        <v>16</v>
      </c>
      <c r="L201" s="6">
        <v>1.0</v>
      </c>
    </row>
    <row r="202">
      <c r="A202" s="3" t="s">
        <v>424</v>
      </c>
      <c r="B202" s="3" t="s">
        <v>425</v>
      </c>
      <c r="C202" s="4">
        <v>45244.0</v>
      </c>
      <c r="D202" s="4">
        <v>45256.0</v>
      </c>
      <c r="E202" s="3" t="s">
        <v>22</v>
      </c>
      <c r="F202" s="5">
        <v>2.5</v>
      </c>
      <c r="G202" s="5">
        <v>0.0</v>
      </c>
      <c r="H202" s="6">
        <v>0.0</v>
      </c>
      <c r="I202" s="5">
        <v>44.0</v>
      </c>
      <c r="J202" s="3" t="s">
        <v>32</v>
      </c>
      <c r="K202" s="3" t="s">
        <v>47</v>
      </c>
      <c r="L202" s="6">
        <v>1.0</v>
      </c>
    </row>
    <row r="203">
      <c r="A203" s="3" t="s">
        <v>426</v>
      </c>
      <c r="B203" s="3" t="s">
        <v>427</v>
      </c>
      <c r="C203" s="4">
        <v>45017.0</v>
      </c>
      <c r="D203" s="4">
        <v>45029.0</v>
      </c>
      <c r="E203" s="3" t="s">
        <v>14</v>
      </c>
      <c r="F203" s="5">
        <v>3.1</v>
      </c>
      <c r="G203" s="5">
        <v>52.0</v>
      </c>
      <c r="H203" s="6">
        <v>0.0</v>
      </c>
      <c r="I203" s="5">
        <v>46.0</v>
      </c>
      <c r="J203" s="3" t="s">
        <v>32</v>
      </c>
      <c r="K203" s="3" t="s">
        <v>16</v>
      </c>
      <c r="L203" s="6">
        <v>0.0</v>
      </c>
    </row>
    <row r="204">
      <c r="A204" s="3" t="s">
        <v>428</v>
      </c>
      <c r="B204" s="3" t="s">
        <v>429</v>
      </c>
      <c r="C204" s="4">
        <v>44989.0</v>
      </c>
      <c r="D204" s="4">
        <v>45001.0</v>
      </c>
      <c r="E204" s="3" t="s">
        <v>22</v>
      </c>
      <c r="F204" s="5">
        <v>3.3</v>
      </c>
      <c r="G204" s="5">
        <v>49.0</v>
      </c>
      <c r="H204" s="6">
        <v>1.0</v>
      </c>
      <c r="I204" s="5">
        <v>38.0</v>
      </c>
      <c r="J204" s="3" t="s">
        <v>32</v>
      </c>
      <c r="K204" s="3" t="s">
        <v>47</v>
      </c>
      <c r="L204" s="6">
        <v>1.0</v>
      </c>
    </row>
    <row r="205">
      <c r="A205" s="3" t="s">
        <v>430</v>
      </c>
      <c r="B205" s="3" t="s">
        <v>431</v>
      </c>
      <c r="C205" s="4">
        <v>45060.0</v>
      </c>
      <c r="D205" s="4">
        <v>45072.0</v>
      </c>
      <c r="E205" s="3" t="s">
        <v>38</v>
      </c>
      <c r="F205" s="5">
        <v>3.0</v>
      </c>
      <c r="G205" s="5">
        <v>55.0</v>
      </c>
      <c r="H205" s="6">
        <v>0.0</v>
      </c>
      <c r="I205" s="5">
        <v>18.0</v>
      </c>
      <c r="J205" s="3" t="s">
        <v>35</v>
      </c>
      <c r="K205" s="3" t="s">
        <v>16</v>
      </c>
      <c r="L205" s="6">
        <v>0.0</v>
      </c>
    </row>
    <row r="206">
      <c r="A206" s="3" t="s">
        <v>432</v>
      </c>
      <c r="B206" s="3" t="s">
        <v>433</v>
      </c>
      <c r="C206" s="4">
        <v>45265.0</v>
      </c>
      <c r="D206" s="4">
        <v>45277.0</v>
      </c>
      <c r="E206" s="3" t="s">
        <v>14</v>
      </c>
      <c r="F206" s="5">
        <v>3.6</v>
      </c>
      <c r="G206" s="5">
        <v>66.0</v>
      </c>
      <c r="H206" s="6">
        <v>1.0</v>
      </c>
      <c r="I206" s="5">
        <v>43.0</v>
      </c>
      <c r="J206" s="3" t="s">
        <v>15</v>
      </c>
      <c r="K206" s="3" t="s">
        <v>16</v>
      </c>
      <c r="L206" s="6">
        <v>1.0</v>
      </c>
    </row>
    <row r="207">
      <c r="A207" s="3" t="s">
        <v>434</v>
      </c>
      <c r="B207" s="3" t="s">
        <v>435</v>
      </c>
      <c r="C207" s="4">
        <v>45227.0</v>
      </c>
      <c r="D207" s="4">
        <v>45239.0</v>
      </c>
      <c r="E207" s="3" t="s">
        <v>22</v>
      </c>
      <c r="F207" s="5">
        <v>4.9</v>
      </c>
      <c r="G207" s="5">
        <v>21.0</v>
      </c>
      <c r="H207" s="6">
        <v>1.0</v>
      </c>
      <c r="I207" s="5">
        <v>19.0</v>
      </c>
      <c r="J207" s="3" t="s">
        <v>32</v>
      </c>
      <c r="K207" s="3" t="s">
        <v>47</v>
      </c>
      <c r="L207" s="6">
        <v>0.0</v>
      </c>
    </row>
    <row r="208">
      <c r="A208" s="3" t="s">
        <v>436</v>
      </c>
      <c r="B208" s="3" t="s">
        <v>437</v>
      </c>
      <c r="C208" s="4">
        <v>45147.0</v>
      </c>
      <c r="D208" s="4">
        <v>45159.0</v>
      </c>
      <c r="E208" s="3" t="s">
        <v>29</v>
      </c>
      <c r="F208" s="5">
        <v>4.0</v>
      </c>
      <c r="G208" s="5">
        <v>62.0</v>
      </c>
      <c r="H208" s="6">
        <v>1.0</v>
      </c>
      <c r="I208" s="5">
        <v>16.0</v>
      </c>
      <c r="J208" s="3" t="s">
        <v>19</v>
      </c>
      <c r="K208" s="3" t="s">
        <v>26</v>
      </c>
      <c r="L208" s="6">
        <v>0.0</v>
      </c>
    </row>
    <row r="209">
      <c r="A209" s="3" t="s">
        <v>438</v>
      </c>
      <c r="B209" s="3" t="s">
        <v>439</v>
      </c>
      <c r="C209" s="4">
        <v>44994.0</v>
      </c>
      <c r="D209" s="4">
        <v>45006.0</v>
      </c>
      <c r="E209" s="3" t="s">
        <v>14</v>
      </c>
      <c r="F209" s="5">
        <v>1.1</v>
      </c>
      <c r="G209" s="5">
        <v>24.0</v>
      </c>
      <c r="H209" s="6">
        <v>1.0</v>
      </c>
      <c r="I209" s="5">
        <v>13.0</v>
      </c>
      <c r="J209" s="3" t="s">
        <v>32</v>
      </c>
      <c r="K209" s="3" t="s">
        <v>26</v>
      </c>
      <c r="L209" s="6">
        <v>0.0</v>
      </c>
    </row>
    <row r="210">
      <c r="A210" s="3" t="s">
        <v>440</v>
      </c>
      <c r="B210" s="3" t="s">
        <v>441</v>
      </c>
      <c r="C210" s="4">
        <v>44950.0</v>
      </c>
      <c r="D210" s="4">
        <v>44962.0</v>
      </c>
      <c r="E210" s="3" t="s">
        <v>22</v>
      </c>
      <c r="F210" s="5">
        <v>0.3</v>
      </c>
      <c r="G210" s="5">
        <v>54.0</v>
      </c>
      <c r="H210" s="6">
        <v>0.0</v>
      </c>
      <c r="I210" s="5">
        <v>47.0</v>
      </c>
      <c r="J210" s="3" t="s">
        <v>15</v>
      </c>
      <c r="K210" s="3" t="s">
        <v>47</v>
      </c>
      <c r="L210" s="6">
        <v>0.0</v>
      </c>
    </row>
    <row r="211">
      <c r="A211" s="3" t="s">
        <v>442</v>
      </c>
      <c r="B211" s="3" t="s">
        <v>443</v>
      </c>
      <c r="C211" s="4">
        <v>44932.0</v>
      </c>
      <c r="D211" s="4">
        <v>44944.0</v>
      </c>
      <c r="E211" s="3" t="s">
        <v>14</v>
      </c>
      <c r="F211" s="5">
        <v>1.0</v>
      </c>
      <c r="G211" s="5">
        <v>1.0</v>
      </c>
      <c r="H211" s="6">
        <v>0.0</v>
      </c>
      <c r="I211" s="5">
        <v>55.0</v>
      </c>
      <c r="J211" s="3" t="s">
        <v>19</v>
      </c>
      <c r="K211" s="3" t="s">
        <v>26</v>
      </c>
      <c r="L211" s="6">
        <v>1.0</v>
      </c>
    </row>
    <row r="212">
      <c r="A212" s="3" t="s">
        <v>444</v>
      </c>
      <c r="B212" s="3" t="s">
        <v>445</v>
      </c>
      <c r="C212" s="4">
        <v>45145.0</v>
      </c>
      <c r="D212" s="4">
        <v>45157.0</v>
      </c>
      <c r="E212" s="3" t="s">
        <v>14</v>
      </c>
      <c r="F212" s="5">
        <v>2.3</v>
      </c>
      <c r="G212" s="5">
        <v>26.0</v>
      </c>
      <c r="H212" s="6">
        <v>1.0</v>
      </c>
      <c r="I212" s="5">
        <v>34.0</v>
      </c>
      <c r="J212" s="3" t="s">
        <v>15</v>
      </c>
      <c r="K212" s="3" t="s">
        <v>16</v>
      </c>
      <c r="L212" s="6">
        <v>1.0</v>
      </c>
    </row>
    <row r="213">
      <c r="A213" s="3" t="s">
        <v>446</v>
      </c>
      <c r="B213" s="3" t="s">
        <v>447</v>
      </c>
      <c r="C213" s="4">
        <v>44960.0</v>
      </c>
      <c r="D213" s="4">
        <v>44972.0</v>
      </c>
      <c r="E213" s="3" t="s">
        <v>22</v>
      </c>
      <c r="F213" s="5">
        <v>4.4</v>
      </c>
      <c r="G213" s="5">
        <v>53.0</v>
      </c>
      <c r="H213" s="6">
        <v>1.0</v>
      </c>
      <c r="I213" s="5">
        <v>30.0</v>
      </c>
      <c r="J213" s="3" t="s">
        <v>19</v>
      </c>
      <c r="K213" s="3" t="s">
        <v>16</v>
      </c>
      <c r="L213" s="6">
        <v>0.0</v>
      </c>
    </row>
    <row r="214">
      <c r="A214" s="3" t="s">
        <v>448</v>
      </c>
      <c r="B214" s="3" t="s">
        <v>449</v>
      </c>
      <c r="C214" s="4">
        <v>45056.0</v>
      </c>
      <c r="D214" s="4">
        <v>45068.0</v>
      </c>
      <c r="E214" s="3" t="s">
        <v>22</v>
      </c>
      <c r="F214" s="5">
        <v>0.6</v>
      </c>
      <c r="G214" s="5">
        <v>86.0</v>
      </c>
      <c r="H214" s="6">
        <v>1.0</v>
      </c>
      <c r="I214" s="5">
        <v>35.0</v>
      </c>
      <c r="J214" s="3" t="s">
        <v>23</v>
      </c>
      <c r="K214" s="3" t="s">
        <v>16</v>
      </c>
      <c r="L214" s="6">
        <v>1.0</v>
      </c>
    </row>
    <row r="215">
      <c r="A215" s="3" t="s">
        <v>450</v>
      </c>
      <c r="B215" s="3" t="s">
        <v>451</v>
      </c>
      <c r="C215" s="4">
        <v>44990.0</v>
      </c>
      <c r="D215" s="4">
        <v>45002.0</v>
      </c>
      <c r="E215" s="3" t="s">
        <v>29</v>
      </c>
      <c r="F215" s="5">
        <v>4.7</v>
      </c>
      <c r="G215" s="5">
        <v>91.0</v>
      </c>
      <c r="H215" s="6">
        <v>0.0</v>
      </c>
      <c r="I215" s="5">
        <v>48.0</v>
      </c>
      <c r="J215" s="3" t="s">
        <v>15</v>
      </c>
      <c r="K215" s="3" t="s">
        <v>16</v>
      </c>
      <c r="L215" s="6">
        <v>1.0</v>
      </c>
    </row>
    <row r="216">
      <c r="A216" s="3" t="s">
        <v>452</v>
      </c>
      <c r="B216" s="3" t="s">
        <v>453</v>
      </c>
      <c r="C216" s="4">
        <v>45011.0</v>
      </c>
      <c r="D216" s="4">
        <v>45023.0</v>
      </c>
      <c r="E216" s="3" t="s">
        <v>38</v>
      </c>
      <c r="F216" s="5">
        <v>0.2</v>
      </c>
      <c r="G216" s="5">
        <v>36.0</v>
      </c>
      <c r="H216" s="6">
        <v>1.0</v>
      </c>
      <c r="I216" s="5">
        <v>42.0</v>
      </c>
      <c r="J216" s="3" t="s">
        <v>15</v>
      </c>
      <c r="K216" s="3" t="s">
        <v>16</v>
      </c>
      <c r="L216" s="6">
        <v>1.0</v>
      </c>
    </row>
    <row r="217">
      <c r="A217" s="3" t="s">
        <v>454</v>
      </c>
      <c r="B217" s="3" t="s">
        <v>455</v>
      </c>
      <c r="C217" s="4">
        <v>45116.0</v>
      </c>
      <c r="D217" s="4">
        <v>45128.0</v>
      </c>
      <c r="E217" s="3" t="s">
        <v>22</v>
      </c>
      <c r="F217" s="5">
        <v>2.8</v>
      </c>
      <c r="G217" s="5">
        <v>30.0</v>
      </c>
      <c r="H217" s="6">
        <v>0.0</v>
      </c>
      <c r="I217" s="5">
        <v>15.0</v>
      </c>
      <c r="J217" s="3" t="s">
        <v>15</v>
      </c>
      <c r="K217" s="3" t="s">
        <v>47</v>
      </c>
      <c r="L217" s="6">
        <v>0.0</v>
      </c>
    </row>
    <row r="218">
      <c r="A218" s="3" t="s">
        <v>456</v>
      </c>
      <c r="B218" s="3" t="s">
        <v>457</v>
      </c>
      <c r="C218" s="4">
        <v>45274.0</v>
      </c>
      <c r="D218" s="4">
        <v>45286.0</v>
      </c>
      <c r="E218" s="3" t="s">
        <v>38</v>
      </c>
      <c r="F218" s="5">
        <v>3.9</v>
      </c>
      <c r="G218" s="5">
        <v>63.0</v>
      </c>
      <c r="H218" s="6">
        <v>0.0</v>
      </c>
      <c r="I218" s="5">
        <v>40.0</v>
      </c>
      <c r="J218" s="3" t="s">
        <v>15</v>
      </c>
      <c r="K218" s="3" t="s">
        <v>47</v>
      </c>
      <c r="L218" s="6">
        <v>0.0</v>
      </c>
    </row>
    <row r="219">
      <c r="A219" s="3" t="s">
        <v>458</v>
      </c>
      <c r="B219" s="3" t="s">
        <v>459</v>
      </c>
      <c r="C219" s="4">
        <v>45161.0</v>
      </c>
      <c r="D219" s="4">
        <v>45173.0</v>
      </c>
      <c r="E219" s="3" t="s">
        <v>38</v>
      </c>
      <c r="F219" s="5">
        <v>5.0</v>
      </c>
      <c r="G219" s="5">
        <v>89.0</v>
      </c>
      <c r="H219" s="6">
        <v>1.0</v>
      </c>
      <c r="I219" s="5">
        <v>37.0</v>
      </c>
      <c r="J219" s="3" t="s">
        <v>19</v>
      </c>
      <c r="K219" s="3" t="s">
        <v>16</v>
      </c>
      <c r="L219" s="6">
        <v>1.0</v>
      </c>
    </row>
    <row r="220">
      <c r="A220" s="3" t="s">
        <v>460</v>
      </c>
      <c r="B220" s="3" t="s">
        <v>461</v>
      </c>
      <c r="C220" s="4">
        <v>45131.0</v>
      </c>
      <c r="D220" s="4">
        <v>45143.0</v>
      </c>
      <c r="E220" s="3" t="s">
        <v>29</v>
      </c>
      <c r="F220" s="5">
        <v>1.7</v>
      </c>
      <c r="G220" s="5">
        <v>14.0</v>
      </c>
      <c r="H220" s="6">
        <v>0.0</v>
      </c>
      <c r="I220" s="5">
        <v>29.0</v>
      </c>
      <c r="J220" s="3" t="s">
        <v>32</v>
      </c>
      <c r="K220" s="3" t="s">
        <v>47</v>
      </c>
      <c r="L220" s="6">
        <v>1.0</v>
      </c>
    </row>
    <row r="221">
      <c r="A221" s="3" t="s">
        <v>462</v>
      </c>
      <c r="B221" s="3" t="s">
        <v>463</v>
      </c>
      <c r="C221" s="4">
        <v>45214.0</v>
      </c>
      <c r="D221" s="4">
        <v>45226.0</v>
      </c>
      <c r="E221" s="3" t="s">
        <v>29</v>
      </c>
      <c r="F221" s="5">
        <v>4.1</v>
      </c>
      <c r="G221" s="5">
        <v>29.0</v>
      </c>
      <c r="H221" s="6">
        <v>1.0</v>
      </c>
      <c r="I221" s="5">
        <v>14.0</v>
      </c>
      <c r="J221" s="3" t="s">
        <v>15</v>
      </c>
      <c r="K221" s="3" t="s">
        <v>26</v>
      </c>
      <c r="L221" s="6">
        <v>1.0</v>
      </c>
    </row>
    <row r="222">
      <c r="A222" s="3" t="s">
        <v>464</v>
      </c>
      <c r="B222" s="3" t="s">
        <v>465</v>
      </c>
      <c r="C222" s="4">
        <v>45164.0</v>
      </c>
      <c r="D222" s="4">
        <v>45176.0</v>
      </c>
      <c r="E222" s="3" t="s">
        <v>14</v>
      </c>
      <c r="F222" s="5">
        <v>2.6</v>
      </c>
      <c r="G222" s="5">
        <v>34.0</v>
      </c>
      <c r="H222" s="6">
        <v>0.0</v>
      </c>
      <c r="I222" s="5">
        <v>39.0</v>
      </c>
      <c r="J222" s="3" t="s">
        <v>32</v>
      </c>
      <c r="K222" s="3" t="s">
        <v>26</v>
      </c>
      <c r="L222" s="6">
        <v>0.0</v>
      </c>
    </row>
    <row r="223">
      <c r="A223" s="3" t="s">
        <v>466</v>
      </c>
      <c r="B223" s="3" t="s">
        <v>467</v>
      </c>
      <c r="C223" s="4">
        <v>45170.0</v>
      </c>
      <c r="D223" s="4">
        <v>45182.0</v>
      </c>
      <c r="E223" s="3" t="s">
        <v>22</v>
      </c>
      <c r="F223" s="5">
        <v>4.8</v>
      </c>
      <c r="G223" s="5">
        <v>60.0</v>
      </c>
      <c r="H223" s="6">
        <v>1.0</v>
      </c>
      <c r="I223" s="5">
        <v>24.0</v>
      </c>
      <c r="J223" s="3" t="s">
        <v>32</v>
      </c>
      <c r="K223" s="3" t="s">
        <v>26</v>
      </c>
      <c r="L223" s="6">
        <v>1.0</v>
      </c>
    </row>
    <row r="224">
      <c r="A224" s="3" t="s">
        <v>468</v>
      </c>
      <c r="B224" s="3" t="s">
        <v>469</v>
      </c>
      <c r="C224" s="4">
        <v>45011.0</v>
      </c>
      <c r="D224" s="4">
        <v>45023.0</v>
      </c>
      <c r="E224" s="3" t="s">
        <v>38</v>
      </c>
      <c r="F224" s="5">
        <v>1.3</v>
      </c>
      <c r="G224" s="5">
        <v>100.0</v>
      </c>
      <c r="H224" s="6">
        <v>1.0</v>
      </c>
      <c r="I224" s="5">
        <v>17.0</v>
      </c>
      <c r="J224" s="3" t="s">
        <v>32</v>
      </c>
      <c r="K224" s="3" t="s">
        <v>26</v>
      </c>
      <c r="L224" s="6">
        <v>1.0</v>
      </c>
    </row>
    <row r="225">
      <c r="A225" s="3" t="s">
        <v>470</v>
      </c>
      <c r="B225" s="3" t="s">
        <v>471</v>
      </c>
      <c r="C225" s="4">
        <v>45106.0</v>
      </c>
      <c r="D225" s="4">
        <v>45118.0</v>
      </c>
      <c r="E225" s="3" t="s">
        <v>14</v>
      </c>
      <c r="F225" s="5">
        <v>1.9</v>
      </c>
      <c r="G225" s="5">
        <v>84.0</v>
      </c>
      <c r="H225" s="6">
        <v>0.0</v>
      </c>
      <c r="I225" s="5">
        <v>25.0</v>
      </c>
      <c r="J225" s="3" t="s">
        <v>35</v>
      </c>
      <c r="K225" s="3" t="s">
        <v>26</v>
      </c>
      <c r="L225" s="6">
        <v>1.0</v>
      </c>
    </row>
    <row r="226">
      <c r="A226" s="3" t="s">
        <v>472</v>
      </c>
      <c r="B226" s="3" t="s">
        <v>473</v>
      </c>
      <c r="C226" s="4">
        <v>45000.0</v>
      </c>
      <c r="D226" s="4">
        <v>45012.0</v>
      </c>
      <c r="E226" s="3" t="s">
        <v>38</v>
      </c>
      <c r="F226" s="5">
        <v>0.4</v>
      </c>
      <c r="G226" s="5">
        <v>3.0</v>
      </c>
      <c r="H226" s="6">
        <v>0.0</v>
      </c>
      <c r="I226" s="5">
        <v>27.0</v>
      </c>
      <c r="J226" s="3" t="s">
        <v>32</v>
      </c>
      <c r="K226" s="3" t="s">
        <v>26</v>
      </c>
      <c r="L226" s="6">
        <v>1.0</v>
      </c>
    </row>
    <row r="227">
      <c r="A227" s="3" t="s">
        <v>474</v>
      </c>
      <c r="B227" s="3" t="s">
        <v>475</v>
      </c>
      <c r="C227" s="4">
        <v>45068.0</v>
      </c>
      <c r="D227" s="4">
        <v>45080.0</v>
      </c>
      <c r="E227" s="3" t="s">
        <v>22</v>
      </c>
      <c r="F227" s="5">
        <v>3.3</v>
      </c>
      <c r="G227" s="5">
        <v>58.0</v>
      </c>
      <c r="H227" s="6">
        <v>1.0</v>
      </c>
      <c r="I227" s="5">
        <v>14.0</v>
      </c>
      <c r="J227" s="3" t="s">
        <v>15</v>
      </c>
      <c r="K227" s="3" t="s">
        <v>47</v>
      </c>
      <c r="L227" s="6">
        <v>0.0</v>
      </c>
    </row>
    <row r="228">
      <c r="A228" s="3" t="s">
        <v>476</v>
      </c>
      <c r="B228" s="3" t="s">
        <v>477</v>
      </c>
      <c r="C228" s="4">
        <v>45243.0</v>
      </c>
      <c r="D228" s="4">
        <v>45255.0</v>
      </c>
      <c r="E228" s="3" t="s">
        <v>14</v>
      </c>
      <c r="F228" s="5">
        <v>4.2</v>
      </c>
      <c r="G228" s="5">
        <v>41.0</v>
      </c>
      <c r="H228" s="6">
        <v>0.0</v>
      </c>
      <c r="I228" s="5">
        <v>17.0</v>
      </c>
      <c r="J228" s="3" t="s">
        <v>23</v>
      </c>
      <c r="K228" s="3" t="s">
        <v>26</v>
      </c>
      <c r="L228" s="6">
        <v>1.0</v>
      </c>
    </row>
    <row r="229">
      <c r="A229" s="3" t="s">
        <v>478</v>
      </c>
      <c r="B229" s="3" t="s">
        <v>479</v>
      </c>
      <c r="C229" s="4">
        <v>45031.0</v>
      </c>
      <c r="D229" s="4">
        <v>45043.0</v>
      </c>
      <c r="E229" s="3" t="s">
        <v>29</v>
      </c>
      <c r="F229" s="5">
        <v>2.7</v>
      </c>
      <c r="G229" s="5">
        <v>27.0</v>
      </c>
      <c r="H229" s="6">
        <v>0.0</v>
      </c>
      <c r="I229" s="5">
        <v>41.0</v>
      </c>
      <c r="J229" s="3" t="s">
        <v>19</v>
      </c>
      <c r="K229" s="3" t="s">
        <v>16</v>
      </c>
      <c r="L229" s="6">
        <v>1.0</v>
      </c>
    </row>
    <row r="230">
      <c r="A230" s="3" t="s">
        <v>480</v>
      </c>
      <c r="B230" s="3" t="s">
        <v>481</v>
      </c>
      <c r="C230" s="4">
        <v>45264.0</v>
      </c>
      <c r="D230" s="4">
        <v>45276.0</v>
      </c>
      <c r="E230" s="3" t="s">
        <v>29</v>
      </c>
      <c r="F230" s="5">
        <v>1.5</v>
      </c>
      <c r="G230" s="5">
        <v>28.0</v>
      </c>
      <c r="H230" s="6">
        <v>1.0</v>
      </c>
      <c r="I230" s="5">
        <v>28.0</v>
      </c>
      <c r="J230" s="3" t="s">
        <v>19</v>
      </c>
      <c r="K230" s="3" t="s">
        <v>26</v>
      </c>
      <c r="L230" s="6">
        <v>0.0</v>
      </c>
    </row>
    <row r="231">
      <c r="A231" s="3" t="s">
        <v>482</v>
      </c>
      <c r="B231" s="3" t="s">
        <v>483</v>
      </c>
      <c r="C231" s="4">
        <v>45228.0</v>
      </c>
      <c r="D231" s="4">
        <v>45240.0</v>
      </c>
      <c r="E231" s="3" t="s">
        <v>38</v>
      </c>
      <c r="F231" s="5">
        <v>3.2</v>
      </c>
      <c r="G231" s="5">
        <v>99.0</v>
      </c>
      <c r="H231" s="6">
        <v>0.0</v>
      </c>
      <c r="I231" s="5">
        <v>45.0</v>
      </c>
      <c r="J231" s="3" t="s">
        <v>23</v>
      </c>
      <c r="K231" s="3" t="s">
        <v>47</v>
      </c>
      <c r="L231" s="6">
        <v>1.0</v>
      </c>
    </row>
    <row r="232">
      <c r="A232" s="3" t="s">
        <v>484</v>
      </c>
      <c r="B232" s="3" t="s">
        <v>485</v>
      </c>
      <c r="C232" s="4">
        <v>45080.0</v>
      </c>
      <c r="D232" s="4">
        <v>45092.0</v>
      </c>
      <c r="E232" s="3" t="s">
        <v>29</v>
      </c>
      <c r="F232" s="5">
        <v>4.5</v>
      </c>
      <c r="G232" s="5">
        <v>57.0</v>
      </c>
      <c r="H232" s="6">
        <v>0.0</v>
      </c>
      <c r="I232" s="5">
        <v>19.0</v>
      </c>
      <c r="J232" s="3" t="s">
        <v>19</v>
      </c>
      <c r="K232" s="3" t="s">
        <v>16</v>
      </c>
      <c r="L232" s="6">
        <v>1.0</v>
      </c>
    </row>
    <row r="233">
      <c r="A233" s="3" t="s">
        <v>486</v>
      </c>
      <c r="B233" s="3" t="s">
        <v>487</v>
      </c>
      <c r="C233" s="4">
        <v>45173.0</v>
      </c>
      <c r="D233" s="4">
        <v>45185.0</v>
      </c>
      <c r="E233" s="3" t="s">
        <v>22</v>
      </c>
      <c r="F233" s="5">
        <v>0.8</v>
      </c>
      <c r="G233" s="5">
        <v>38.0</v>
      </c>
      <c r="H233" s="6">
        <v>0.0</v>
      </c>
      <c r="I233" s="5">
        <v>37.0</v>
      </c>
      <c r="J233" s="3" t="s">
        <v>35</v>
      </c>
      <c r="K233" s="3" t="s">
        <v>47</v>
      </c>
      <c r="L233" s="6">
        <v>1.0</v>
      </c>
    </row>
    <row r="234">
      <c r="A234" s="3" t="s">
        <v>488</v>
      </c>
      <c r="B234" s="3" t="s">
        <v>489</v>
      </c>
      <c r="C234" s="4">
        <v>45133.0</v>
      </c>
      <c r="D234" s="4">
        <v>45145.0</v>
      </c>
      <c r="E234" s="3" t="s">
        <v>38</v>
      </c>
      <c r="F234" s="5">
        <v>2.4</v>
      </c>
      <c r="G234" s="5">
        <v>4.0</v>
      </c>
      <c r="H234" s="6">
        <v>1.0</v>
      </c>
      <c r="I234" s="5">
        <v>50.0</v>
      </c>
      <c r="J234" s="3" t="s">
        <v>23</v>
      </c>
      <c r="K234" s="3" t="s">
        <v>16</v>
      </c>
      <c r="L234" s="6">
        <v>1.0</v>
      </c>
    </row>
    <row r="235">
      <c r="A235" s="3" t="s">
        <v>490</v>
      </c>
      <c r="B235" s="3" t="s">
        <v>491</v>
      </c>
      <c r="C235" s="4">
        <v>45171.0</v>
      </c>
      <c r="D235" s="4">
        <v>45183.0</v>
      </c>
      <c r="E235" s="3" t="s">
        <v>29</v>
      </c>
      <c r="F235" s="5">
        <v>2.0</v>
      </c>
      <c r="G235" s="5">
        <v>48.0</v>
      </c>
      <c r="H235" s="6">
        <v>0.0</v>
      </c>
      <c r="I235" s="5">
        <v>55.0</v>
      </c>
      <c r="J235" s="3" t="s">
        <v>32</v>
      </c>
      <c r="K235" s="3" t="s">
        <v>47</v>
      </c>
      <c r="L235" s="6">
        <v>0.0</v>
      </c>
    </row>
    <row r="236">
      <c r="A236" s="3" t="s">
        <v>492</v>
      </c>
      <c r="B236" s="3" t="s">
        <v>493</v>
      </c>
      <c r="C236" s="4">
        <v>45197.0</v>
      </c>
      <c r="D236" s="4">
        <v>45209.0</v>
      </c>
      <c r="E236" s="3" t="s">
        <v>38</v>
      </c>
      <c r="F236" s="5">
        <v>0.7</v>
      </c>
      <c r="G236" s="5">
        <v>87.0</v>
      </c>
      <c r="H236" s="6">
        <v>1.0</v>
      </c>
      <c r="I236" s="5">
        <v>48.0</v>
      </c>
      <c r="J236" s="3" t="s">
        <v>32</v>
      </c>
      <c r="K236" s="3" t="s">
        <v>16</v>
      </c>
      <c r="L236" s="6">
        <v>0.0</v>
      </c>
    </row>
    <row r="237">
      <c r="A237" s="3" t="s">
        <v>494</v>
      </c>
      <c r="B237" s="3" t="s">
        <v>495</v>
      </c>
      <c r="C237" s="4">
        <v>45142.0</v>
      </c>
      <c r="D237" s="4">
        <v>45154.0</v>
      </c>
      <c r="E237" s="3" t="s">
        <v>22</v>
      </c>
      <c r="F237" s="5">
        <v>2.5</v>
      </c>
      <c r="G237" s="5">
        <v>67.0</v>
      </c>
      <c r="H237" s="6">
        <v>0.0</v>
      </c>
      <c r="I237" s="5">
        <v>31.0</v>
      </c>
      <c r="J237" s="3" t="s">
        <v>23</v>
      </c>
      <c r="K237" s="3" t="s">
        <v>16</v>
      </c>
      <c r="L237" s="6">
        <v>0.0</v>
      </c>
    </row>
    <row r="238">
      <c r="A238" s="3" t="s">
        <v>496</v>
      </c>
      <c r="B238" s="3" t="s">
        <v>497</v>
      </c>
      <c r="C238" s="4">
        <v>45198.0</v>
      </c>
      <c r="D238" s="4">
        <v>45210.0</v>
      </c>
      <c r="E238" s="3" t="s">
        <v>38</v>
      </c>
      <c r="F238" s="5">
        <v>2.1</v>
      </c>
      <c r="G238" s="5">
        <v>11.0</v>
      </c>
      <c r="H238" s="6">
        <v>1.0</v>
      </c>
      <c r="I238" s="5">
        <v>36.0</v>
      </c>
      <c r="J238" s="3" t="s">
        <v>15</v>
      </c>
      <c r="K238" s="3" t="s">
        <v>26</v>
      </c>
      <c r="L238" s="6">
        <v>1.0</v>
      </c>
    </row>
    <row r="239">
      <c r="A239" s="3" t="s">
        <v>498</v>
      </c>
      <c r="B239" s="3" t="s">
        <v>499</v>
      </c>
      <c r="C239" s="4">
        <v>44932.0</v>
      </c>
      <c r="D239" s="4">
        <v>44944.0</v>
      </c>
      <c r="E239" s="3" t="s">
        <v>38</v>
      </c>
      <c r="F239" s="5">
        <v>0.5</v>
      </c>
      <c r="G239" s="5">
        <v>77.0</v>
      </c>
      <c r="H239" s="6">
        <v>0.0</v>
      </c>
      <c r="I239" s="5">
        <v>35.0</v>
      </c>
      <c r="J239" s="3" t="s">
        <v>32</v>
      </c>
      <c r="K239" s="3" t="s">
        <v>26</v>
      </c>
      <c r="L239" s="6">
        <v>0.0</v>
      </c>
    </row>
    <row r="240">
      <c r="A240" s="3" t="s">
        <v>500</v>
      </c>
      <c r="B240" s="3" t="s">
        <v>501</v>
      </c>
      <c r="C240" s="4">
        <v>45237.0</v>
      </c>
      <c r="D240" s="4">
        <v>45249.0</v>
      </c>
      <c r="E240" s="3" t="s">
        <v>14</v>
      </c>
      <c r="F240" s="5">
        <v>2.9</v>
      </c>
      <c r="G240" s="5">
        <v>64.0</v>
      </c>
      <c r="H240" s="6">
        <v>1.0</v>
      </c>
      <c r="I240" s="5">
        <v>20.0</v>
      </c>
      <c r="J240" s="3" t="s">
        <v>35</v>
      </c>
      <c r="K240" s="3" t="s">
        <v>47</v>
      </c>
      <c r="L240" s="6">
        <v>1.0</v>
      </c>
    </row>
    <row r="241">
      <c r="A241" s="3" t="s">
        <v>502</v>
      </c>
      <c r="B241" s="3" t="s">
        <v>503</v>
      </c>
      <c r="C241" s="4">
        <v>44927.0</v>
      </c>
      <c r="D241" s="4">
        <v>44939.0</v>
      </c>
      <c r="E241" s="3" t="s">
        <v>22</v>
      </c>
      <c r="F241" s="5">
        <v>1.2</v>
      </c>
      <c r="G241" s="5">
        <v>33.0</v>
      </c>
      <c r="H241" s="6">
        <v>1.0</v>
      </c>
      <c r="I241" s="5">
        <v>27.0</v>
      </c>
      <c r="J241" s="3" t="s">
        <v>35</v>
      </c>
      <c r="K241" s="3" t="s">
        <v>47</v>
      </c>
      <c r="L241" s="6">
        <v>0.0</v>
      </c>
    </row>
    <row r="242">
      <c r="A242" s="3" t="s">
        <v>504</v>
      </c>
      <c r="B242" s="3" t="s">
        <v>505</v>
      </c>
      <c r="C242" s="4">
        <v>45158.0</v>
      </c>
      <c r="D242" s="4">
        <v>45170.0</v>
      </c>
      <c r="E242" s="3" t="s">
        <v>38</v>
      </c>
      <c r="F242" s="5">
        <v>0.1</v>
      </c>
      <c r="G242" s="5">
        <v>61.0</v>
      </c>
      <c r="H242" s="6">
        <v>1.0</v>
      </c>
      <c r="I242" s="5">
        <v>16.0</v>
      </c>
      <c r="J242" s="3" t="s">
        <v>35</v>
      </c>
      <c r="K242" s="3" t="s">
        <v>26</v>
      </c>
      <c r="L242" s="6">
        <v>1.0</v>
      </c>
    </row>
    <row r="243">
      <c r="A243" s="3" t="s">
        <v>506</v>
      </c>
      <c r="B243" s="3" t="s">
        <v>507</v>
      </c>
      <c r="C243" s="4">
        <v>45126.0</v>
      </c>
      <c r="D243" s="4">
        <v>45138.0</v>
      </c>
      <c r="E243" s="3" t="s">
        <v>22</v>
      </c>
      <c r="F243" s="5">
        <v>1.4</v>
      </c>
      <c r="G243" s="5">
        <v>97.0</v>
      </c>
      <c r="H243" s="6">
        <v>0.0</v>
      </c>
      <c r="I243" s="5">
        <v>32.0</v>
      </c>
      <c r="J243" s="3" t="s">
        <v>23</v>
      </c>
      <c r="K243" s="3" t="s">
        <v>26</v>
      </c>
      <c r="L243" s="6">
        <v>1.0</v>
      </c>
    </row>
    <row r="244">
      <c r="A244" s="3" t="s">
        <v>508</v>
      </c>
      <c r="B244" s="3" t="s">
        <v>509</v>
      </c>
      <c r="C244" s="4">
        <v>45264.0</v>
      </c>
      <c r="D244" s="4">
        <v>45276.0</v>
      </c>
      <c r="E244" s="3" t="s">
        <v>29</v>
      </c>
      <c r="F244" s="5">
        <v>3.5</v>
      </c>
      <c r="G244" s="5">
        <v>18.0</v>
      </c>
      <c r="H244" s="6">
        <v>0.0</v>
      </c>
      <c r="I244" s="5">
        <v>54.0</v>
      </c>
      <c r="J244" s="3" t="s">
        <v>19</v>
      </c>
      <c r="K244" s="3" t="s">
        <v>47</v>
      </c>
      <c r="L244" s="6">
        <v>1.0</v>
      </c>
    </row>
    <row r="245">
      <c r="A245" s="3" t="s">
        <v>510</v>
      </c>
      <c r="B245" s="3" t="s">
        <v>511</v>
      </c>
      <c r="C245" s="4">
        <v>45215.0</v>
      </c>
      <c r="D245" s="4">
        <v>45227.0</v>
      </c>
      <c r="E245" s="3" t="s">
        <v>22</v>
      </c>
      <c r="F245" s="5">
        <v>3.4</v>
      </c>
      <c r="G245" s="5">
        <v>79.0</v>
      </c>
      <c r="H245" s="6">
        <v>0.0</v>
      </c>
      <c r="I245" s="5">
        <v>29.0</v>
      </c>
      <c r="J245" s="3" t="s">
        <v>32</v>
      </c>
      <c r="K245" s="3" t="s">
        <v>47</v>
      </c>
      <c r="L245" s="6">
        <v>1.0</v>
      </c>
    </row>
    <row r="246">
      <c r="A246" s="3" t="s">
        <v>512</v>
      </c>
      <c r="B246" s="3" t="s">
        <v>513</v>
      </c>
      <c r="C246" s="4">
        <v>44985.0</v>
      </c>
      <c r="D246" s="4">
        <v>44997.0</v>
      </c>
      <c r="E246" s="3" t="s">
        <v>22</v>
      </c>
      <c r="F246" s="5">
        <v>3.0</v>
      </c>
      <c r="G246" s="5">
        <v>2.0</v>
      </c>
      <c r="H246" s="6">
        <v>1.0</v>
      </c>
      <c r="I246" s="5">
        <v>23.0</v>
      </c>
      <c r="J246" s="3" t="s">
        <v>15</v>
      </c>
      <c r="K246" s="3" t="s">
        <v>26</v>
      </c>
      <c r="L246" s="6">
        <v>1.0</v>
      </c>
    </row>
    <row r="247">
      <c r="A247" s="3" t="s">
        <v>514</v>
      </c>
      <c r="B247" s="3" t="s">
        <v>515</v>
      </c>
      <c r="C247" s="4">
        <v>44956.0</v>
      </c>
      <c r="D247" s="4">
        <v>44968.0</v>
      </c>
      <c r="E247" s="3" t="s">
        <v>38</v>
      </c>
      <c r="F247" s="5">
        <v>3.1</v>
      </c>
      <c r="G247" s="5">
        <v>90.0</v>
      </c>
      <c r="H247" s="6">
        <v>1.0</v>
      </c>
      <c r="I247" s="5">
        <v>38.0</v>
      </c>
      <c r="J247" s="3" t="s">
        <v>32</v>
      </c>
      <c r="K247" s="3" t="s">
        <v>16</v>
      </c>
      <c r="L247" s="6">
        <v>0.0</v>
      </c>
    </row>
    <row r="248">
      <c r="A248" s="3" t="s">
        <v>516</v>
      </c>
      <c r="B248" s="3" t="s">
        <v>517</v>
      </c>
      <c r="C248" s="4">
        <v>45130.0</v>
      </c>
      <c r="D248" s="4">
        <v>45142.0</v>
      </c>
      <c r="E248" s="3" t="s">
        <v>22</v>
      </c>
      <c r="F248" s="5">
        <v>0.9</v>
      </c>
      <c r="G248" s="5">
        <v>5.0</v>
      </c>
      <c r="H248" s="6">
        <v>1.0</v>
      </c>
      <c r="I248" s="5">
        <v>49.0</v>
      </c>
      <c r="J248" s="3" t="s">
        <v>23</v>
      </c>
      <c r="K248" s="3" t="s">
        <v>16</v>
      </c>
      <c r="L248" s="6">
        <v>1.0</v>
      </c>
    </row>
    <row r="249">
      <c r="A249" s="3" t="s">
        <v>518</v>
      </c>
      <c r="B249" s="3" t="s">
        <v>519</v>
      </c>
      <c r="C249" s="4">
        <v>45201.0</v>
      </c>
      <c r="D249" s="4">
        <v>45213.0</v>
      </c>
      <c r="E249" s="3" t="s">
        <v>38</v>
      </c>
      <c r="F249" s="5">
        <v>1.6</v>
      </c>
      <c r="G249" s="5">
        <v>88.0</v>
      </c>
      <c r="H249" s="6">
        <v>0.0</v>
      </c>
      <c r="I249" s="5">
        <v>15.0</v>
      </c>
      <c r="J249" s="3" t="s">
        <v>15</v>
      </c>
      <c r="K249" s="3" t="s">
        <v>16</v>
      </c>
      <c r="L249" s="6">
        <v>1.0</v>
      </c>
    </row>
    <row r="250">
      <c r="A250" s="3" t="s">
        <v>520</v>
      </c>
      <c r="B250" s="3" t="s">
        <v>521</v>
      </c>
      <c r="C250" s="4">
        <v>45034.0</v>
      </c>
      <c r="D250" s="4">
        <v>45046.0</v>
      </c>
      <c r="E250" s="3" t="s">
        <v>14</v>
      </c>
      <c r="F250" s="5">
        <v>3.8</v>
      </c>
      <c r="G250" s="5">
        <v>83.0</v>
      </c>
      <c r="H250" s="6">
        <v>1.0</v>
      </c>
      <c r="I250" s="5">
        <v>25.0</v>
      </c>
      <c r="J250" s="3" t="s">
        <v>35</v>
      </c>
      <c r="K250" s="3" t="s">
        <v>26</v>
      </c>
      <c r="L250" s="6">
        <v>1.0</v>
      </c>
    </row>
    <row r="251">
      <c r="A251" s="3" t="s">
        <v>522</v>
      </c>
      <c r="B251" s="3" t="s">
        <v>523</v>
      </c>
      <c r="C251" s="4">
        <v>45029.0</v>
      </c>
      <c r="D251" s="4">
        <v>45041.0</v>
      </c>
      <c r="E251" s="3" t="s">
        <v>29</v>
      </c>
      <c r="F251" s="5">
        <v>3.7</v>
      </c>
      <c r="G251" s="5">
        <v>71.0</v>
      </c>
      <c r="H251" s="6">
        <v>1.0</v>
      </c>
      <c r="I251" s="5">
        <v>34.0</v>
      </c>
      <c r="J251" s="3" t="s">
        <v>35</v>
      </c>
      <c r="K251" s="3" t="s">
        <v>16</v>
      </c>
      <c r="L251" s="6">
        <v>1.0</v>
      </c>
    </row>
    <row r="252">
      <c r="A252" s="3" t="s">
        <v>524</v>
      </c>
      <c r="B252" s="3" t="s">
        <v>525</v>
      </c>
      <c r="C252" s="4">
        <v>45254.0</v>
      </c>
      <c r="D252" s="4">
        <v>45266.0</v>
      </c>
      <c r="E252" s="3" t="s">
        <v>22</v>
      </c>
      <c r="F252" s="5">
        <v>2.2</v>
      </c>
      <c r="G252" s="5">
        <v>56.0</v>
      </c>
      <c r="H252" s="6">
        <v>0.0</v>
      </c>
      <c r="I252" s="5">
        <v>12.0</v>
      </c>
      <c r="J252" s="3" t="s">
        <v>32</v>
      </c>
      <c r="K252" s="3" t="s">
        <v>16</v>
      </c>
      <c r="L252" s="6">
        <v>0.0</v>
      </c>
    </row>
    <row r="253">
      <c r="A253" s="3" t="s">
        <v>526</v>
      </c>
      <c r="B253" s="3" t="s">
        <v>527</v>
      </c>
      <c r="C253" s="4">
        <v>45171.0</v>
      </c>
      <c r="D253" s="4">
        <v>45183.0</v>
      </c>
      <c r="E253" s="3" t="s">
        <v>29</v>
      </c>
      <c r="F253" s="5">
        <v>1.8</v>
      </c>
      <c r="G253" s="5">
        <v>25.0</v>
      </c>
      <c r="H253" s="6">
        <v>1.0</v>
      </c>
      <c r="I253" s="5">
        <v>24.0</v>
      </c>
      <c r="J253" s="3" t="s">
        <v>15</v>
      </c>
      <c r="K253" s="3" t="s">
        <v>16</v>
      </c>
      <c r="L253" s="6">
        <v>1.0</v>
      </c>
    </row>
    <row r="254">
      <c r="A254" s="3" t="s">
        <v>528</v>
      </c>
      <c r="B254" s="3" t="s">
        <v>529</v>
      </c>
      <c r="C254" s="4">
        <v>45117.0</v>
      </c>
      <c r="D254" s="4">
        <v>45129.0</v>
      </c>
      <c r="E254" s="3" t="s">
        <v>14</v>
      </c>
      <c r="F254" s="5">
        <v>0.0</v>
      </c>
      <c r="G254" s="5">
        <v>40.0</v>
      </c>
      <c r="H254" s="6">
        <v>1.0</v>
      </c>
      <c r="I254" s="5">
        <v>47.0</v>
      </c>
      <c r="J254" s="3" t="s">
        <v>32</v>
      </c>
      <c r="K254" s="3" t="s">
        <v>16</v>
      </c>
      <c r="L254" s="6">
        <v>1.0</v>
      </c>
    </row>
    <row r="255">
      <c r="A255" s="3" t="s">
        <v>530</v>
      </c>
      <c r="B255" s="3" t="s">
        <v>531</v>
      </c>
      <c r="C255" s="4">
        <v>44946.0</v>
      </c>
      <c r="D255" s="4">
        <v>44958.0</v>
      </c>
      <c r="E255" s="3" t="s">
        <v>14</v>
      </c>
      <c r="F255" s="5">
        <v>4.6</v>
      </c>
      <c r="G255" s="5">
        <v>39.0</v>
      </c>
      <c r="H255" s="6">
        <v>0.0</v>
      </c>
      <c r="I255" s="5">
        <v>21.0</v>
      </c>
      <c r="J255" s="3" t="s">
        <v>23</v>
      </c>
      <c r="K255" s="3" t="s">
        <v>26</v>
      </c>
      <c r="L255" s="6">
        <v>1.0</v>
      </c>
    </row>
    <row r="256">
      <c r="A256" s="3" t="s">
        <v>532</v>
      </c>
      <c r="B256" s="3" t="s">
        <v>533</v>
      </c>
      <c r="C256" s="4">
        <v>45252.0</v>
      </c>
      <c r="D256" s="4">
        <v>45264.0</v>
      </c>
      <c r="E256" s="3" t="s">
        <v>14</v>
      </c>
      <c r="F256" s="5">
        <v>4.3</v>
      </c>
      <c r="G256" s="5">
        <v>46.0</v>
      </c>
      <c r="H256" s="6">
        <v>1.0</v>
      </c>
      <c r="I256" s="5">
        <v>26.0</v>
      </c>
      <c r="J256" s="3" t="s">
        <v>15</v>
      </c>
      <c r="K256" s="3" t="s">
        <v>47</v>
      </c>
      <c r="L256" s="6">
        <v>1.0</v>
      </c>
    </row>
    <row r="257">
      <c r="A257" s="3" t="s">
        <v>534</v>
      </c>
      <c r="B257" s="3" t="s">
        <v>535</v>
      </c>
      <c r="C257" s="4">
        <v>45104.0</v>
      </c>
      <c r="D257" s="4">
        <v>45116.0</v>
      </c>
      <c r="E257" s="3" t="s">
        <v>14</v>
      </c>
      <c r="F257" s="5">
        <v>1.8</v>
      </c>
      <c r="G257" s="5">
        <v>51.0</v>
      </c>
      <c r="H257" s="6">
        <v>0.0</v>
      </c>
      <c r="I257" s="5">
        <v>13.0</v>
      </c>
      <c r="J257" s="3" t="s">
        <v>35</v>
      </c>
      <c r="K257" s="3" t="s">
        <v>16</v>
      </c>
      <c r="L257" s="6">
        <v>1.0</v>
      </c>
    </row>
    <row r="258">
      <c r="A258" s="3" t="s">
        <v>536</v>
      </c>
      <c r="B258" s="3" t="s">
        <v>537</v>
      </c>
      <c r="C258" s="4">
        <v>45119.0</v>
      </c>
      <c r="D258" s="4">
        <v>45131.0</v>
      </c>
      <c r="E258" s="3" t="s">
        <v>29</v>
      </c>
      <c r="F258" s="5">
        <v>0.9</v>
      </c>
      <c r="G258" s="5">
        <v>16.0</v>
      </c>
      <c r="H258" s="6">
        <v>0.0</v>
      </c>
      <c r="I258" s="5">
        <v>30.0</v>
      </c>
      <c r="J258" s="3" t="s">
        <v>32</v>
      </c>
      <c r="K258" s="3" t="s">
        <v>47</v>
      </c>
      <c r="L258" s="6">
        <v>1.0</v>
      </c>
    </row>
    <row r="259">
      <c r="A259" s="3" t="s">
        <v>538</v>
      </c>
      <c r="B259" s="3" t="s">
        <v>539</v>
      </c>
      <c r="C259" s="4">
        <v>45233.0</v>
      </c>
      <c r="D259" s="4">
        <v>45245.0</v>
      </c>
      <c r="E259" s="3" t="s">
        <v>22</v>
      </c>
      <c r="F259" s="5">
        <v>2.0</v>
      </c>
      <c r="G259" s="5">
        <v>98.0</v>
      </c>
      <c r="H259" s="6">
        <v>0.0</v>
      </c>
      <c r="I259" s="5">
        <v>33.0</v>
      </c>
      <c r="J259" s="3" t="s">
        <v>35</v>
      </c>
      <c r="K259" s="3" t="s">
        <v>47</v>
      </c>
      <c r="L259" s="6">
        <v>0.0</v>
      </c>
    </row>
    <row r="260">
      <c r="A260" s="3" t="s">
        <v>540</v>
      </c>
      <c r="B260" s="3" t="s">
        <v>541</v>
      </c>
      <c r="C260" s="4">
        <v>45108.0</v>
      </c>
      <c r="D260" s="4">
        <v>45120.0</v>
      </c>
      <c r="E260" s="3" t="s">
        <v>14</v>
      </c>
      <c r="F260" s="5">
        <v>3.1</v>
      </c>
      <c r="G260" s="5">
        <v>52.0</v>
      </c>
      <c r="H260" s="6">
        <v>0.0</v>
      </c>
      <c r="I260" s="5">
        <v>56.0</v>
      </c>
      <c r="J260" s="3" t="s">
        <v>15</v>
      </c>
      <c r="K260" s="3" t="s">
        <v>26</v>
      </c>
      <c r="L260" s="6">
        <v>1.0</v>
      </c>
    </row>
    <row r="261">
      <c r="A261" s="3" t="s">
        <v>542</v>
      </c>
      <c r="B261" s="3" t="s">
        <v>543</v>
      </c>
      <c r="C261" s="4">
        <v>44987.0</v>
      </c>
      <c r="D261" s="4">
        <v>44999.0</v>
      </c>
      <c r="E261" s="3" t="s">
        <v>29</v>
      </c>
      <c r="F261" s="5">
        <v>2.8</v>
      </c>
      <c r="G261" s="5">
        <v>74.0</v>
      </c>
      <c r="H261" s="6">
        <v>0.0</v>
      </c>
      <c r="I261" s="5">
        <v>22.0</v>
      </c>
      <c r="J261" s="3" t="s">
        <v>19</v>
      </c>
      <c r="K261" s="3" t="s">
        <v>16</v>
      </c>
      <c r="L261" s="6">
        <v>1.0</v>
      </c>
    </row>
    <row r="262">
      <c r="A262" s="3" t="s">
        <v>544</v>
      </c>
      <c r="B262" s="3" t="s">
        <v>545</v>
      </c>
      <c r="C262" s="4">
        <v>44985.0</v>
      </c>
      <c r="D262" s="4">
        <v>44997.0</v>
      </c>
      <c r="E262" s="3" t="s">
        <v>38</v>
      </c>
      <c r="F262" s="5">
        <v>3.8</v>
      </c>
      <c r="G262" s="5">
        <v>12.0</v>
      </c>
      <c r="H262" s="6">
        <v>0.0</v>
      </c>
      <c r="I262" s="5">
        <v>42.0</v>
      </c>
      <c r="J262" s="3" t="s">
        <v>23</v>
      </c>
      <c r="K262" s="3" t="s">
        <v>47</v>
      </c>
      <c r="L262" s="6">
        <v>1.0</v>
      </c>
    </row>
    <row r="263">
      <c r="A263" s="3" t="s">
        <v>546</v>
      </c>
      <c r="B263" s="3" t="s">
        <v>547</v>
      </c>
      <c r="C263" s="4">
        <v>45112.0</v>
      </c>
      <c r="D263" s="4">
        <v>45124.0</v>
      </c>
      <c r="E263" s="3" t="s">
        <v>22</v>
      </c>
      <c r="F263" s="5">
        <v>4.3</v>
      </c>
      <c r="G263" s="5">
        <v>7.0</v>
      </c>
      <c r="H263" s="6">
        <v>1.0</v>
      </c>
      <c r="I263" s="5">
        <v>40.0</v>
      </c>
      <c r="J263" s="3" t="s">
        <v>15</v>
      </c>
      <c r="K263" s="3" t="s">
        <v>26</v>
      </c>
      <c r="L263" s="6">
        <v>1.0</v>
      </c>
    </row>
    <row r="264">
      <c r="A264" s="3" t="s">
        <v>548</v>
      </c>
      <c r="B264" s="3" t="s">
        <v>549</v>
      </c>
      <c r="C264" s="4">
        <v>45073.0</v>
      </c>
      <c r="D264" s="4">
        <v>45085.0</v>
      </c>
      <c r="E264" s="3" t="s">
        <v>38</v>
      </c>
      <c r="F264" s="5">
        <v>3.3</v>
      </c>
      <c r="G264" s="5">
        <v>96.0</v>
      </c>
      <c r="H264" s="6">
        <v>0.0</v>
      </c>
      <c r="I264" s="5">
        <v>39.0</v>
      </c>
      <c r="J264" s="3" t="s">
        <v>23</v>
      </c>
      <c r="K264" s="3" t="s">
        <v>47</v>
      </c>
      <c r="L264" s="6">
        <v>1.0</v>
      </c>
    </row>
    <row r="265">
      <c r="A265" s="3" t="s">
        <v>550</v>
      </c>
      <c r="B265" s="3" t="s">
        <v>551</v>
      </c>
      <c r="C265" s="4">
        <v>45096.0</v>
      </c>
      <c r="D265" s="4">
        <v>45108.0</v>
      </c>
      <c r="E265" s="3" t="s">
        <v>38</v>
      </c>
      <c r="F265" s="5">
        <v>4.5</v>
      </c>
      <c r="G265" s="5">
        <v>20.0</v>
      </c>
      <c r="H265" s="6">
        <v>1.0</v>
      </c>
      <c r="I265" s="5">
        <v>53.0</v>
      </c>
      <c r="J265" s="3" t="s">
        <v>35</v>
      </c>
      <c r="K265" s="3" t="s">
        <v>16</v>
      </c>
      <c r="L265" s="6">
        <v>1.0</v>
      </c>
    </row>
    <row r="266">
      <c r="A266" s="3" t="s">
        <v>552</v>
      </c>
      <c r="B266" s="3" t="s">
        <v>553</v>
      </c>
      <c r="C266" s="4">
        <v>45189.0</v>
      </c>
      <c r="D266" s="4">
        <v>45201.0</v>
      </c>
      <c r="E266" s="3" t="s">
        <v>14</v>
      </c>
      <c r="F266" s="5">
        <v>3.0</v>
      </c>
      <c r="G266" s="5">
        <v>92.0</v>
      </c>
      <c r="H266" s="6">
        <v>0.0</v>
      </c>
      <c r="I266" s="5">
        <v>18.0</v>
      </c>
      <c r="J266" s="3" t="s">
        <v>35</v>
      </c>
      <c r="K266" s="3" t="s">
        <v>16</v>
      </c>
      <c r="L266" s="6">
        <v>0.0</v>
      </c>
    </row>
    <row r="267">
      <c r="A267" s="3" t="s">
        <v>554</v>
      </c>
      <c r="B267" s="3" t="s">
        <v>555</v>
      </c>
      <c r="C267" s="4">
        <v>45155.0</v>
      </c>
      <c r="D267" s="4">
        <v>45167.0</v>
      </c>
      <c r="E267" s="3" t="s">
        <v>14</v>
      </c>
      <c r="F267" s="5">
        <v>1.9</v>
      </c>
      <c r="G267" s="5">
        <v>0.0</v>
      </c>
      <c r="H267" s="6">
        <v>0.0</v>
      </c>
      <c r="I267" s="5">
        <v>44.0</v>
      </c>
      <c r="J267" s="3" t="s">
        <v>15</v>
      </c>
      <c r="K267" s="3" t="s">
        <v>47</v>
      </c>
      <c r="L267" s="6">
        <v>0.0</v>
      </c>
    </row>
    <row r="268">
      <c r="A268" s="3" t="s">
        <v>556</v>
      </c>
      <c r="B268" s="3" t="s">
        <v>557</v>
      </c>
      <c r="C268" s="4">
        <v>45098.0</v>
      </c>
      <c r="D268" s="4">
        <v>45110.0</v>
      </c>
      <c r="E268" s="3" t="s">
        <v>22</v>
      </c>
      <c r="F268" s="5">
        <v>2.2</v>
      </c>
      <c r="G268" s="5">
        <v>73.0</v>
      </c>
      <c r="H268" s="6">
        <v>1.0</v>
      </c>
      <c r="I268" s="5">
        <v>43.0</v>
      </c>
      <c r="J268" s="3" t="s">
        <v>32</v>
      </c>
      <c r="K268" s="3" t="s">
        <v>26</v>
      </c>
      <c r="L268" s="6">
        <v>0.0</v>
      </c>
    </row>
    <row r="269">
      <c r="A269" s="3" t="s">
        <v>558</v>
      </c>
      <c r="B269" s="3" t="s">
        <v>559</v>
      </c>
      <c r="C269" s="4">
        <v>45168.0</v>
      </c>
      <c r="D269" s="4">
        <v>45180.0</v>
      </c>
      <c r="E269" s="3" t="s">
        <v>22</v>
      </c>
      <c r="F269" s="5">
        <v>1.6</v>
      </c>
      <c r="G269" s="5">
        <v>19.0</v>
      </c>
      <c r="H269" s="6">
        <v>1.0</v>
      </c>
      <c r="I269" s="5">
        <v>52.0</v>
      </c>
      <c r="J269" s="3" t="s">
        <v>19</v>
      </c>
      <c r="K269" s="3" t="s">
        <v>47</v>
      </c>
      <c r="L269" s="6">
        <v>1.0</v>
      </c>
    </row>
    <row r="270">
      <c r="A270" s="3" t="s">
        <v>560</v>
      </c>
      <c r="B270" s="3" t="s">
        <v>561</v>
      </c>
      <c r="C270" s="4">
        <v>45258.0</v>
      </c>
      <c r="D270" s="4">
        <v>45270.0</v>
      </c>
      <c r="E270" s="3" t="s">
        <v>38</v>
      </c>
      <c r="F270" s="5">
        <v>1.1</v>
      </c>
      <c r="G270" s="5">
        <v>68.0</v>
      </c>
      <c r="H270" s="6">
        <v>1.0</v>
      </c>
      <c r="I270" s="5">
        <v>46.0</v>
      </c>
      <c r="J270" s="3" t="s">
        <v>15</v>
      </c>
      <c r="K270" s="3" t="s">
        <v>16</v>
      </c>
      <c r="L270" s="6">
        <v>0.0</v>
      </c>
    </row>
    <row r="271">
      <c r="A271" s="3" t="s">
        <v>562</v>
      </c>
      <c r="B271" s="3" t="s">
        <v>563</v>
      </c>
      <c r="C271" s="4">
        <v>45142.0</v>
      </c>
      <c r="D271" s="4">
        <v>45154.0</v>
      </c>
      <c r="E271" s="3" t="s">
        <v>38</v>
      </c>
      <c r="F271" s="5">
        <v>0.7</v>
      </c>
      <c r="G271" s="5">
        <v>81.0</v>
      </c>
      <c r="H271" s="6">
        <v>1.0</v>
      </c>
      <c r="I271" s="5">
        <v>51.0</v>
      </c>
      <c r="J271" s="3" t="s">
        <v>19</v>
      </c>
      <c r="K271" s="3" t="s">
        <v>26</v>
      </c>
      <c r="L271" s="6">
        <v>0.0</v>
      </c>
    </row>
    <row r="272">
      <c r="A272" s="3" t="s">
        <v>564</v>
      </c>
      <c r="B272" s="3" t="s">
        <v>565</v>
      </c>
      <c r="C272" s="4">
        <v>45050.0</v>
      </c>
      <c r="D272" s="4">
        <v>45062.0</v>
      </c>
      <c r="E272" s="3" t="s">
        <v>14</v>
      </c>
      <c r="F272" s="5">
        <v>2.1</v>
      </c>
      <c r="G272" s="5">
        <v>45.0</v>
      </c>
      <c r="H272" s="6">
        <v>0.0</v>
      </c>
      <c r="I272" s="5">
        <v>27.0</v>
      </c>
      <c r="J272" s="3" t="s">
        <v>32</v>
      </c>
      <c r="K272" s="3" t="s">
        <v>26</v>
      </c>
      <c r="L272" s="6">
        <v>0.0</v>
      </c>
    </row>
    <row r="273">
      <c r="A273" s="3" t="s">
        <v>566</v>
      </c>
      <c r="B273" s="3" t="s">
        <v>567</v>
      </c>
      <c r="C273" s="4">
        <v>45207.0</v>
      </c>
      <c r="D273" s="4">
        <v>45219.0</v>
      </c>
      <c r="E273" s="3" t="s">
        <v>22</v>
      </c>
      <c r="F273" s="5">
        <v>5.0</v>
      </c>
      <c r="G273" s="5">
        <v>70.0</v>
      </c>
      <c r="H273" s="6">
        <v>0.0</v>
      </c>
      <c r="I273" s="5">
        <v>34.0</v>
      </c>
      <c r="J273" s="3" t="s">
        <v>32</v>
      </c>
      <c r="K273" s="3" t="s">
        <v>47</v>
      </c>
      <c r="L273" s="6">
        <v>0.0</v>
      </c>
    </row>
    <row r="274">
      <c r="A274" s="3" t="s">
        <v>568</v>
      </c>
      <c r="B274" s="3" t="s">
        <v>569</v>
      </c>
      <c r="C274" s="4">
        <v>44977.0</v>
      </c>
      <c r="D274" s="4">
        <v>44989.0</v>
      </c>
      <c r="E274" s="3" t="s">
        <v>14</v>
      </c>
      <c r="F274" s="5">
        <v>3.4</v>
      </c>
      <c r="G274" s="5">
        <v>93.0</v>
      </c>
      <c r="H274" s="6">
        <v>1.0</v>
      </c>
      <c r="I274" s="5">
        <v>35.0</v>
      </c>
      <c r="J274" s="3" t="s">
        <v>19</v>
      </c>
      <c r="K274" s="3" t="s">
        <v>16</v>
      </c>
      <c r="L274" s="6">
        <v>1.0</v>
      </c>
    </row>
    <row r="275">
      <c r="A275" s="3" t="s">
        <v>570</v>
      </c>
      <c r="B275" s="3" t="s">
        <v>571</v>
      </c>
      <c r="C275" s="4">
        <v>45044.0</v>
      </c>
      <c r="D275" s="4">
        <v>45056.0</v>
      </c>
      <c r="E275" s="3" t="s">
        <v>14</v>
      </c>
      <c r="F275" s="5">
        <v>2.3</v>
      </c>
      <c r="G275" s="5">
        <v>32.0</v>
      </c>
      <c r="H275" s="6">
        <v>1.0</v>
      </c>
      <c r="I275" s="5">
        <v>38.0</v>
      </c>
      <c r="J275" s="3" t="s">
        <v>35</v>
      </c>
      <c r="K275" s="3" t="s">
        <v>47</v>
      </c>
      <c r="L275" s="6">
        <v>0.0</v>
      </c>
    </row>
    <row r="276">
      <c r="A276" s="3" t="s">
        <v>572</v>
      </c>
      <c r="B276" s="3" t="s">
        <v>573</v>
      </c>
      <c r="C276" s="4">
        <v>45010.0</v>
      </c>
      <c r="D276" s="4">
        <v>45022.0</v>
      </c>
      <c r="E276" s="3" t="s">
        <v>22</v>
      </c>
      <c r="F276" s="5">
        <v>3.7</v>
      </c>
      <c r="G276" s="5">
        <v>9.0</v>
      </c>
      <c r="H276" s="6">
        <v>1.0</v>
      </c>
      <c r="I276" s="5">
        <v>53.0</v>
      </c>
      <c r="J276" s="3" t="s">
        <v>35</v>
      </c>
      <c r="K276" s="3" t="s">
        <v>47</v>
      </c>
      <c r="L276" s="6">
        <v>1.0</v>
      </c>
    </row>
    <row r="277">
      <c r="A277" s="3" t="s">
        <v>574</v>
      </c>
      <c r="B277" s="3" t="s">
        <v>575</v>
      </c>
      <c r="C277" s="4">
        <v>45185.0</v>
      </c>
      <c r="D277" s="4">
        <v>45197.0</v>
      </c>
      <c r="E277" s="3" t="s">
        <v>14</v>
      </c>
      <c r="F277" s="5">
        <v>1.3</v>
      </c>
      <c r="G277" s="5">
        <v>37.0</v>
      </c>
      <c r="H277" s="6">
        <v>0.0</v>
      </c>
      <c r="I277" s="5">
        <v>50.0</v>
      </c>
      <c r="J277" s="3" t="s">
        <v>35</v>
      </c>
      <c r="K277" s="3" t="s">
        <v>26</v>
      </c>
      <c r="L277" s="6">
        <v>1.0</v>
      </c>
    </row>
    <row r="278">
      <c r="A278" s="3" t="s">
        <v>576</v>
      </c>
      <c r="B278" s="3" t="s">
        <v>577</v>
      </c>
      <c r="C278" s="4">
        <v>44955.0</v>
      </c>
      <c r="D278" s="4">
        <v>44967.0</v>
      </c>
      <c r="E278" s="3" t="s">
        <v>14</v>
      </c>
      <c r="F278" s="5">
        <v>1.5</v>
      </c>
      <c r="G278" s="5">
        <v>95.0</v>
      </c>
      <c r="H278" s="6">
        <v>0.0</v>
      </c>
      <c r="I278" s="5">
        <v>15.0</v>
      </c>
      <c r="J278" s="3" t="s">
        <v>23</v>
      </c>
      <c r="K278" s="3" t="s">
        <v>16</v>
      </c>
      <c r="L278" s="6">
        <v>1.0</v>
      </c>
    </row>
    <row r="279">
      <c r="A279" s="3" t="s">
        <v>578</v>
      </c>
      <c r="B279" s="3" t="s">
        <v>579</v>
      </c>
      <c r="C279" s="4">
        <v>44965.0</v>
      </c>
      <c r="D279" s="4">
        <v>44977.0</v>
      </c>
      <c r="E279" s="3" t="s">
        <v>29</v>
      </c>
      <c r="F279" s="5">
        <v>3.9</v>
      </c>
      <c r="G279" s="5">
        <v>76.0</v>
      </c>
      <c r="H279" s="6">
        <v>0.0</v>
      </c>
      <c r="I279" s="5">
        <v>49.0</v>
      </c>
      <c r="J279" s="3" t="s">
        <v>15</v>
      </c>
      <c r="K279" s="3" t="s">
        <v>16</v>
      </c>
      <c r="L279" s="6">
        <v>1.0</v>
      </c>
    </row>
    <row r="280">
      <c r="A280" s="3" t="s">
        <v>580</v>
      </c>
      <c r="B280" s="3" t="s">
        <v>581</v>
      </c>
      <c r="C280" s="4">
        <v>45175.0</v>
      </c>
      <c r="D280" s="4">
        <v>45187.0</v>
      </c>
      <c r="E280" s="3" t="s">
        <v>22</v>
      </c>
      <c r="F280" s="5">
        <v>0.1</v>
      </c>
      <c r="G280" s="5">
        <v>42.0</v>
      </c>
      <c r="H280" s="6">
        <v>0.0</v>
      </c>
      <c r="I280" s="5">
        <v>46.0</v>
      </c>
      <c r="J280" s="3" t="s">
        <v>35</v>
      </c>
      <c r="K280" s="3" t="s">
        <v>16</v>
      </c>
      <c r="L280" s="6">
        <v>0.0</v>
      </c>
    </row>
    <row r="281">
      <c r="A281" s="3" t="s">
        <v>582</v>
      </c>
      <c r="B281" s="3" t="s">
        <v>583</v>
      </c>
      <c r="C281" s="4">
        <v>45226.0</v>
      </c>
      <c r="D281" s="4">
        <v>45238.0</v>
      </c>
      <c r="E281" s="3" t="s">
        <v>14</v>
      </c>
      <c r="F281" s="5">
        <v>2.6</v>
      </c>
      <c r="G281" s="5">
        <v>43.0</v>
      </c>
      <c r="H281" s="6">
        <v>1.0</v>
      </c>
      <c r="I281" s="5">
        <v>54.0</v>
      </c>
      <c r="J281" s="3" t="s">
        <v>23</v>
      </c>
      <c r="K281" s="3" t="s">
        <v>47</v>
      </c>
      <c r="L281" s="6">
        <v>0.0</v>
      </c>
    </row>
    <row r="282">
      <c r="A282" s="3" t="s">
        <v>584</v>
      </c>
      <c r="B282" s="3" t="s">
        <v>585</v>
      </c>
      <c r="C282" s="4">
        <v>45280.0</v>
      </c>
      <c r="D282" s="4">
        <v>45292.0</v>
      </c>
      <c r="E282" s="3" t="s">
        <v>29</v>
      </c>
      <c r="F282" s="5">
        <v>3.2</v>
      </c>
      <c r="G282" s="5">
        <v>85.0</v>
      </c>
      <c r="H282" s="6">
        <v>0.0</v>
      </c>
      <c r="I282" s="5">
        <v>48.0</v>
      </c>
      <c r="J282" s="3" t="s">
        <v>15</v>
      </c>
      <c r="K282" s="3" t="s">
        <v>16</v>
      </c>
      <c r="L282" s="6">
        <v>1.0</v>
      </c>
    </row>
    <row r="283">
      <c r="A283" s="3" t="s">
        <v>586</v>
      </c>
      <c r="B283" s="3" t="s">
        <v>587</v>
      </c>
      <c r="C283" s="4">
        <v>44940.0</v>
      </c>
      <c r="D283" s="4">
        <v>44952.0</v>
      </c>
      <c r="E283" s="3" t="s">
        <v>14</v>
      </c>
      <c r="F283" s="5">
        <v>0.0</v>
      </c>
      <c r="G283" s="5">
        <v>50.0</v>
      </c>
      <c r="H283" s="6">
        <v>1.0</v>
      </c>
      <c r="I283" s="5">
        <v>52.0</v>
      </c>
      <c r="J283" s="3" t="s">
        <v>19</v>
      </c>
      <c r="K283" s="3" t="s">
        <v>16</v>
      </c>
      <c r="L283" s="6">
        <v>0.0</v>
      </c>
    </row>
    <row r="284">
      <c r="A284" s="3" t="s">
        <v>588</v>
      </c>
      <c r="B284" s="3" t="s">
        <v>589</v>
      </c>
      <c r="C284" s="4">
        <v>45228.0</v>
      </c>
      <c r="D284" s="4">
        <v>45240.0</v>
      </c>
      <c r="E284" s="3" t="s">
        <v>14</v>
      </c>
      <c r="F284" s="5">
        <v>0.8</v>
      </c>
      <c r="G284" s="5">
        <v>23.0</v>
      </c>
      <c r="H284" s="6">
        <v>1.0</v>
      </c>
      <c r="I284" s="5">
        <v>43.0</v>
      </c>
      <c r="J284" s="3" t="s">
        <v>35</v>
      </c>
      <c r="K284" s="3" t="s">
        <v>26</v>
      </c>
      <c r="L284" s="6">
        <v>1.0</v>
      </c>
    </row>
    <row r="285">
      <c r="A285" s="3" t="s">
        <v>590</v>
      </c>
      <c r="B285" s="3" t="s">
        <v>591</v>
      </c>
      <c r="C285" s="4">
        <v>44960.0</v>
      </c>
      <c r="D285" s="4">
        <v>44972.0</v>
      </c>
      <c r="E285" s="3" t="s">
        <v>14</v>
      </c>
      <c r="F285" s="5">
        <v>4.0</v>
      </c>
      <c r="G285" s="5">
        <v>75.0</v>
      </c>
      <c r="H285" s="6">
        <v>1.0</v>
      </c>
      <c r="I285" s="5">
        <v>26.0</v>
      </c>
      <c r="J285" s="3" t="s">
        <v>35</v>
      </c>
      <c r="K285" s="3" t="s">
        <v>16</v>
      </c>
      <c r="L285" s="6">
        <v>1.0</v>
      </c>
    </row>
    <row r="286">
      <c r="A286" s="3" t="s">
        <v>592</v>
      </c>
      <c r="B286" s="3" t="s">
        <v>593</v>
      </c>
      <c r="C286" s="4">
        <v>45193.0</v>
      </c>
      <c r="D286" s="4">
        <v>45205.0</v>
      </c>
      <c r="E286" s="3" t="s">
        <v>14</v>
      </c>
      <c r="F286" s="5">
        <v>2.7</v>
      </c>
      <c r="G286" s="5">
        <v>80.0</v>
      </c>
      <c r="H286" s="6">
        <v>0.0</v>
      </c>
      <c r="I286" s="5">
        <v>13.0</v>
      </c>
      <c r="J286" s="3" t="s">
        <v>35</v>
      </c>
      <c r="K286" s="3" t="s">
        <v>16</v>
      </c>
      <c r="L286" s="6">
        <v>1.0</v>
      </c>
    </row>
    <row r="287">
      <c r="A287" s="3" t="s">
        <v>594</v>
      </c>
      <c r="B287" s="3" t="s">
        <v>595</v>
      </c>
      <c r="C287" s="4">
        <v>45270.0</v>
      </c>
      <c r="D287" s="4">
        <v>45282.0</v>
      </c>
      <c r="E287" s="3" t="s">
        <v>22</v>
      </c>
      <c r="F287" s="5">
        <v>3.6</v>
      </c>
      <c r="G287" s="5">
        <v>44.0</v>
      </c>
      <c r="H287" s="6">
        <v>1.0</v>
      </c>
      <c r="I287" s="5">
        <v>12.0</v>
      </c>
      <c r="J287" s="3" t="s">
        <v>23</v>
      </c>
      <c r="K287" s="3" t="s">
        <v>26</v>
      </c>
      <c r="L287" s="6">
        <v>1.0</v>
      </c>
    </row>
    <row r="288">
      <c r="A288" s="3" t="s">
        <v>596</v>
      </c>
      <c r="B288" s="3" t="s">
        <v>597</v>
      </c>
      <c r="C288" s="4">
        <v>45260.0</v>
      </c>
      <c r="D288" s="4">
        <v>45272.0</v>
      </c>
      <c r="E288" s="3" t="s">
        <v>14</v>
      </c>
      <c r="F288" s="5">
        <v>4.2</v>
      </c>
      <c r="G288" s="5">
        <v>13.0</v>
      </c>
      <c r="H288" s="6">
        <v>0.0</v>
      </c>
      <c r="I288" s="5">
        <v>18.0</v>
      </c>
      <c r="J288" s="3" t="s">
        <v>35</v>
      </c>
      <c r="K288" s="3" t="s">
        <v>16</v>
      </c>
      <c r="L288" s="6">
        <v>0.0</v>
      </c>
    </row>
    <row r="289">
      <c r="A289" s="3" t="s">
        <v>598</v>
      </c>
      <c r="B289" s="3" t="s">
        <v>599</v>
      </c>
      <c r="C289" s="4">
        <v>45213.0</v>
      </c>
      <c r="D289" s="4">
        <v>45225.0</v>
      </c>
      <c r="E289" s="3" t="s">
        <v>29</v>
      </c>
      <c r="F289" s="5">
        <v>3.5</v>
      </c>
      <c r="G289" s="5">
        <v>82.0</v>
      </c>
      <c r="H289" s="6">
        <v>0.0</v>
      </c>
      <c r="I289" s="5">
        <v>29.0</v>
      </c>
      <c r="J289" s="3" t="s">
        <v>15</v>
      </c>
      <c r="K289" s="3" t="s">
        <v>26</v>
      </c>
      <c r="L289" s="6">
        <v>0.0</v>
      </c>
    </row>
    <row r="290">
      <c r="A290" s="3" t="s">
        <v>600</v>
      </c>
      <c r="B290" s="3" t="s">
        <v>601</v>
      </c>
      <c r="C290" s="4">
        <v>44991.0</v>
      </c>
      <c r="D290" s="4">
        <v>45003.0</v>
      </c>
      <c r="E290" s="3" t="s">
        <v>22</v>
      </c>
      <c r="F290" s="5">
        <v>1.4</v>
      </c>
      <c r="G290" s="5">
        <v>65.0</v>
      </c>
      <c r="H290" s="6">
        <v>0.0</v>
      </c>
      <c r="I290" s="5">
        <v>51.0</v>
      </c>
      <c r="J290" s="3" t="s">
        <v>15</v>
      </c>
      <c r="K290" s="3" t="s">
        <v>47</v>
      </c>
      <c r="L290" s="6">
        <v>1.0</v>
      </c>
    </row>
    <row r="291">
      <c r="A291" s="3" t="s">
        <v>602</v>
      </c>
      <c r="B291" s="3" t="s">
        <v>603</v>
      </c>
      <c r="C291" s="4">
        <v>45290.0</v>
      </c>
      <c r="D291" s="4">
        <v>45302.0</v>
      </c>
      <c r="E291" s="3" t="s">
        <v>38</v>
      </c>
      <c r="F291" s="5">
        <v>1.0</v>
      </c>
      <c r="G291" s="5">
        <v>69.0</v>
      </c>
      <c r="H291" s="6">
        <v>1.0</v>
      </c>
      <c r="I291" s="5">
        <v>55.0</v>
      </c>
      <c r="J291" s="3" t="s">
        <v>23</v>
      </c>
      <c r="K291" s="3" t="s">
        <v>26</v>
      </c>
      <c r="L291" s="6">
        <v>1.0</v>
      </c>
    </row>
    <row r="292">
      <c r="A292" s="3" t="s">
        <v>604</v>
      </c>
      <c r="B292" s="3" t="s">
        <v>605</v>
      </c>
      <c r="C292" s="4">
        <v>45126.0</v>
      </c>
      <c r="D292" s="4">
        <v>45138.0</v>
      </c>
      <c r="E292" s="3" t="s">
        <v>22</v>
      </c>
      <c r="F292" s="5">
        <v>0.5</v>
      </c>
      <c r="G292" s="5">
        <v>10.0</v>
      </c>
      <c r="H292" s="6">
        <v>0.0</v>
      </c>
      <c r="I292" s="5">
        <v>20.0</v>
      </c>
      <c r="J292" s="3" t="s">
        <v>32</v>
      </c>
      <c r="K292" s="3" t="s">
        <v>26</v>
      </c>
      <c r="L292" s="6">
        <v>0.0</v>
      </c>
    </row>
    <row r="293">
      <c r="A293" s="3" t="s">
        <v>606</v>
      </c>
      <c r="B293" s="3" t="s">
        <v>607</v>
      </c>
      <c r="C293" s="4">
        <v>45250.0</v>
      </c>
      <c r="D293" s="4">
        <v>45262.0</v>
      </c>
      <c r="E293" s="3" t="s">
        <v>22</v>
      </c>
      <c r="F293" s="5">
        <v>1.2</v>
      </c>
      <c r="G293" s="5">
        <v>59.0</v>
      </c>
      <c r="H293" s="6">
        <v>1.0</v>
      </c>
      <c r="I293" s="5">
        <v>30.0</v>
      </c>
      <c r="J293" s="3" t="s">
        <v>15</v>
      </c>
      <c r="K293" s="3" t="s">
        <v>47</v>
      </c>
      <c r="L293" s="6">
        <v>1.0</v>
      </c>
    </row>
    <row r="294">
      <c r="A294" s="3" t="s">
        <v>608</v>
      </c>
      <c r="B294" s="3" t="s">
        <v>609</v>
      </c>
      <c r="C294" s="4">
        <v>45053.0</v>
      </c>
      <c r="D294" s="4">
        <v>45065.0</v>
      </c>
      <c r="E294" s="3" t="s">
        <v>38</v>
      </c>
      <c r="F294" s="5">
        <v>4.7</v>
      </c>
      <c r="G294" s="5">
        <v>94.0</v>
      </c>
      <c r="H294" s="6">
        <v>0.0</v>
      </c>
      <c r="I294" s="5">
        <v>25.0</v>
      </c>
      <c r="J294" s="3" t="s">
        <v>23</v>
      </c>
      <c r="K294" s="3" t="s">
        <v>47</v>
      </c>
      <c r="L294" s="6">
        <v>1.0</v>
      </c>
    </row>
    <row r="295">
      <c r="A295" s="3" t="s">
        <v>610</v>
      </c>
      <c r="B295" s="3" t="s">
        <v>611</v>
      </c>
      <c r="C295" s="4">
        <v>45055.0</v>
      </c>
      <c r="D295" s="4">
        <v>45067.0</v>
      </c>
      <c r="E295" s="3" t="s">
        <v>38</v>
      </c>
      <c r="F295" s="5">
        <v>4.9</v>
      </c>
      <c r="G295" s="5">
        <v>8.0</v>
      </c>
      <c r="H295" s="6">
        <v>1.0</v>
      </c>
      <c r="I295" s="5">
        <v>21.0</v>
      </c>
      <c r="J295" s="3" t="s">
        <v>15</v>
      </c>
      <c r="K295" s="3" t="s">
        <v>47</v>
      </c>
      <c r="L295" s="6">
        <v>1.0</v>
      </c>
    </row>
    <row r="296">
      <c r="A296" s="3" t="s">
        <v>612</v>
      </c>
      <c r="B296" s="3" t="s">
        <v>613</v>
      </c>
      <c r="C296" s="4">
        <v>45278.0</v>
      </c>
      <c r="D296" s="4">
        <v>45290.0</v>
      </c>
      <c r="E296" s="3" t="s">
        <v>29</v>
      </c>
      <c r="F296" s="5">
        <v>4.8</v>
      </c>
      <c r="G296" s="5">
        <v>78.0</v>
      </c>
      <c r="H296" s="6">
        <v>1.0</v>
      </c>
      <c r="I296" s="5">
        <v>44.0</v>
      </c>
      <c r="J296" s="3" t="s">
        <v>32</v>
      </c>
      <c r="K296" s="3" t="s">
        <v>16</v>
      </c>
      <c r="L296" s="6">
        <v>1.0</v>
      </c>
    </row>
    <row r="297">
      <c r="A297" s="3" t="s">
        <v>614</v>
      </c>
      <c r="B297" s="3" t="s">
        <v>615</v>
      </c>
      <c r="C297" s="4">
        <v>45250.0</v>
      </c>
      <c r="D297" s="4">
        <v>45262.0</v>
      </c>
      <c r="E297" s="3" t="s">
        <v>22</v>
      </c>
      <c r="F297" s="5">
        <v>4.6</v>
      </c>
      <c r="G297" s="5">
        <v>47.0</v>
      </c>
      <c r="H297" s="6">
        <v>0.0</v>
      </c>
      <c r="I297" s="5">
        <v>19.0</v>
      </c>
      <c r="J297" s="3" t="s">
        <v>15</v>
      </c>
      <c r="K297" s="3" t="s">
        <v>26</v>
      </c>
      <c r="L297" s="6">
        <v>1.0</v>
      </c>
    </row>
    <row r="298">
      <c r="A298" s="3" t="s">
        <v>616</v>
      </c>
      <c r="B298" s="3" t="s">
        <v>617</v>
      </c>
      <c r="C298" s="4">
        <v>44938.0</v>
      </c>
      <c r="D298" s="4">
        <v>44950.0</v>
      </c>
      <c r="E298" s="3" t="s">
        <v>14</v>
      </c>
      <c r="F298" s="5">
        <v>2.4</v>
      </c>
      <c r="G298" s="5">
        <v>17.0</v>
      </c>
      <c r="H298" s="6">
        <v>1.0</v>
      </c>
      <c r="I298" s="5">
        <v>32.0</v>
      </c>
      <c r="J298" s="3" t="s">
        <v>35</v>
      </c>
      <c r="K298" s="3" t="s">
        <v>47</v>
      </c>
      <c r="L298" s="6">
        <v>1.0</v>
      </c>
    </row>
    <row r="299">
      <c r="A299" s="3" t="s">
        <v>618</v>
      </c>
      <c r="B299" s="3" t="s">
        <v>619</v>
      </c>
      <c r="C299" s="4">
        <v>44947.0</v>
      </c>
      <c r="D299" s="4">
        <v>44959.0</v>
      </c>
      <c r="E299" s="3" t="s">
        <v>29</v>
      </c>
      <c r="F299" s="5">
        <v>0.4</v>
      </c>
      <c r="G299" s="5">
        <v>6.0</v>
      </c>
      <c r="H299" s="6">
        <v>0.0</v>
      </c>
      <c r="I299" s="5">
        <v>47.0</v>
      </c>
      <c r="J299" s="3" t="s">
        <v>32</v>
      </c>
      <c r="K299" s="3" t="s">
        <v>47</v>
      </c>
      <c r="L299" s="6">
        <v>0.0</v>
      </c>
    </row>
    <row r="300">
      <c r="A300" s="3" t="s">
        <v>620</v>
      </c>
      <c r="B300" s="3" t="s">
        <v>621</v>
      </c>
      <c r="C300" s="4">
        <v>45184.0</v>
      </c>
      <c r="D300" s="4">
        <v>45196.0</v>
      </c>
      <c r="E300" s="3" t="s">
        <v>14</v>
      </c>
      <c r="F300" s="5">
        <v>0.3</v>
      </c>
      <c r="G300" s="5">
        <v>35.0</v>
      </c>
      <c r="H300" s="6">
        <v>1.0</v>
      </c>
      <c r="I300" s="5">
        <v>37.0</v>
      </c>
      <c r="J300" s="3" t="s">
        <v>19</v>
      </c>
      <c r="K300" s="3" t="s">
        <v>26</v>
      </c>
      <c r="L300" s="6">
        <v>1.0</v>
      </c>
    </row>
    <row r="301">
      <c r="A301" s="3" t="s">
        <v>622</v>
      </c>
      <c r="B301" s="3" t="s">
        <v>623</v>
      </c>
      <c r="C301" s="4">
        <v>45125.0</v>
      </c>
      <c r="D301" s="4">
        <v>45137.0</v>
      </c>
      <c r="E301" s="3" t="s">
        <v>22</v>
      </c>
      <c r="F301" s="5">
        <v>0.2</v>
      </c>
      <c r="G301" s="5">
        <v>15.0</v>
      </c>
      <c r="H301" s="6">
        <v>1.0</v>
      </c>
      <c r="I301" s="5">
        <v>23.0</v>
      </c>
      <c r="J301" s="3" t="s">
        <v>19</v>
      </c>
      <c r="K301" s="3" t="s">
        <v>47</v>
      </c>
      <c r="L301" s="6">
        <v>1.0</v>
      </c>
    </row>
    <row r="302">
      <c r="A302" s="3" t="s">
        <v>624</v>
      </c>
      <c r="B302" s="3" t="s">
        <v>625</v>
      </c>
      <c r="C302" s="4">
        <v>45165.0</v>
      </c>
      <c r="D302" s="4">
        <v>45177.0</v>
      </c>
      <c r="E302" s="3" t="s">
        <v>14</v>
      </c>
      <c r="F302" s="5">
        <v>2.9</v>
      </c>
      <c r="G302" s="5">
        <v>72.0</v>
      </c>
      <c r="H302" s="6">
        <v>1.0</v>
      </c>
      <c r="I302" s="5">
        <v>39.0</v>
      </c>
      <c r="J302" s="3" t="s">
        <v>23</v>
      </c>
      <c r="K302" s="3" t="s">
        <v>16</v>
      </c>
      <c r="L302" s="6">
        <v>1.0</v>
      </c>
    </row>
    <row r="303">
      <c r="A303" s="3" t="s">
        <v>626</v>
      </c>
      <c r="B303" s="3" t="s">
        <v>627</v>
      </c>
      <c r="C303" s="4">
        <v>45251.0</v>
      </c>
      <c r="D303" s="4">
        <v>45263.0</v>
      </c>
      <c r="E303" s="3" t="s">
        <v>14</v>
      </c>
      <c r="F303" s="5">
        <v>2.5</v>
      </c>
      <c r="G303" s="5">
        <v>31.0</v>
      </c>
      <c r="H303" s="6">
        <v>0.0</v>
      </c>
      <c r="I303" s="5">
        <v>41.0</v>
      </c>
      <c r="J303" s="3" t="s">
        <v>23</v>
      </c>
      <c r="K303" s="3" t="s">
        <v>16</v>
      </c>
      <c r="L303" s="6">
        <v>1.0</v>
      </c>
    </row>
    <row r="304">
      <c r="A304" s="3" t="s">
        <v>628</v>
      </c>
      <c r="B304" s="3" t="s">
        <v>629</v>
      </c>
      <c r="C304" s="4">
        <v>45097.0</v>
      </c>
      <c r="D304" s="4">
        <v>45109.0</v>
      </c>
      <c r="E304" s="3" t="s">
        <v>29</v>
      </c>
      <c r="F304" s="5">
        <v>4.1</v>
      </c>
      <c r="G304" s="5">
        <v>22.0</v>
      </c>
      <c r="H304" s="6">
        <v>1.0</v>
      </c>
      <c r="I304" s="5">
        <v>36.0</v>
      </c>
      <c r="J304" s="3" t="s">
        <v>15</v>
      </c>
      <c r="K304" s="3" t="s">
        <v>26</v>
      </c>
      <c r="L304" s="6">
        <v>1.0</v>
      </c>
    </row>
    <row r="305">
      <c r="A305" s="3" t="s">
        <v>630</v>
      </c>
      <c r="B305" s="3" t="s">
        <v>631</v>
      </c>
      <c r="C305" s="4">
        <v>45282.0</v>
      </c>
      <c r="D305" s="4">
        <v>45294.0</v>
      </c>
      <c r="E305" s="3" t="s">
        <v>38</v>
      </c>
      <c r="F305" s="5">
        <v>0.6</v>
      </c>
      <c r="G305" s="5">
        <v>51.0</v>
      </c>
      <c r="H305" s="6">
        <v>0.0</v>
      </c>
      <c r="I305" s="5">
        <v>24.0</v>
      </c>
      <c r="J305" s="3" t="s">
        <v>32</v>
      </c>
      <c r="K305" s="3" t="s">
        <v>16</v>
      </c>
      <c r="L305" s="6">
        <v>0.0</v>
      </c>
    </row>
    <row r="306">
      <c r="A306" s="3" t="s">
        <v>632</v>
      </c>
      <c r="B306" s="3" t="s">
        <v>633</v>
      </c>
      <c r="C306" s="4">
        <v>45051.0</v>
      </c>
      <c r="D306" s="4">
        <v>45063.0</v>
      </c>
      <c r="E306" s="3" t="s">
        <v>22</v>
      </c>
      <c r="F306" s="5">
        <v>1.7</v>
      </c>
      <c r="G306" s="5">
        <v>65.0</v>
      </c>
      <c r="H306" s="6">
        <v>1.0</v>
      </c>
      <c r="I306" s="5">
        <v>28.0</v>
      </c>
      <c r="J306" s="3" t="s">
        <v>32</v>
      </c>
      <c r="K306" s="3" t="s">
        <v>26</v>
      </c>
      <c r="L306" s="6">
        <v>1.0</v>
      </c>
    </row>
    <row r="307">
      <c r="A307" s="3" t="s">
        <v>634</v>
      </c>
      <c r="B307" s="3" t="s">
        <v>635</v>
      </c>
      <c r="C307" s="4">
        <v>45166.0</v>
      </c>
      <c r="D307" s="4">
        <v>45178.0</v>
      </c>
      <c r="E307" s="3" t="s">
        <v>29</v>
      </c>
      <c r="F307" s="5">
        <v>4.4</v>
      </c>
      <c r="G307" s="5">
        <v>48.0</v>
      </c>
      <c r="H307" s="6">
        <v>1.0</v>
      </c>
      <c r="I307" s="5">
        <v>16.0</v>
      </c>
      <c r="J307" s="3" t="s">
        <v>23</v>
      </c>
      <c r="K307" s="3" t="s">
        <v>47</v>
      </c>
      <c r="L307" s="6">
        <v>1.0</v>
      </c>
    </row>
    <row r="308">
      <c r="A308" s="3" t="s">
        <v>636</v>
      </c>
      <c r="B308" s="3" t="s">
        <v>637</v>
      </c>
      <c r="C308" s="4">
        <v>45205.0</v>
      </c>
      <c r="D308" s="4">
        <v>45217.0</v>
      </c>
      <c r="E308" s="3" t="s">
        <v>38</v>
      </c>
      <c r="F308" s="5">
        <v>0.6</v>
      </c>
      <c r="G308" s="5">
        <v>42.0</v>
      </c>
      <c r="H308" s="6">
        <v>0.0</v>
      </c>
      <c r="I308" s="5">
        <v>14.0</v>
      </c>
      <c r="J308" s="3" t="s">
        <v>32</v>
      </c>
      <c r="K308" s="3" t="s">
        <v>16</v>
      </c>
      <c r="L308" s="6">
        <v>0.0</v>
      </c>
    </row>
    <row r="309">
      <c r="A309" s="3" t="s">
        <v>638</v>
      </c>
      <c r="B309" s="3" t="s">
        <v>639</v>
      </c>
      <c r="C309" s="4">
        <v>45085.0</v>
      </c>
      <c r="D309" s="4">
        <v>45097.0</v>
      </c>
      <c r="E309" s="3" t="s">
        <v>38</v>
      </c>
      <c r="F309" s="5">
        <v>4.9</v>
      </c>
      <c r="G309" s="5">
        <v>82.0</v>
      </c>
      <c r="H309" s="6">
        <v>0.0</v>
      </c>
      <c r="I309" s="5">
        <v>33.0</v>
      </c>
      <c r="J309" s="3" t="s">
        <v>19</v>
      </c>
      <c r="K309" s="3" t="s">
        <v>47</v>
      </c>
      <c r="L309" s="6">
        <v>1.0</v>
      </c>
    </row>
    <row r="310">
      <c r="A310" s="3" t="s">
        <v>640</v>
      </c>
      <c r="B310" s="3" t="s">
        <v>641</v>
      </c>
      <c r="C310" s="4">
        <v>44965.0</v>
      </c>
      <c r="D310" s="4">
        <v>44977.0</v>
      </c>
      <c r="E310" s="3" t="s">
        <v>29</v>
      </c>
      <c r="F310" s="5">
        <v>0.1</v>
      </c>
      <c r="G310" s="5">
        <v>37.0</v>
      </c>
      <c r="H310" s="6">
        <v>0.0</v>
      </c>
      <c r="I310" s="5">
        <v>22.0</v>
      </c>
      <c r="J310" s="3" t="s">
        <v>15</v>
      </c>
      <c r="K310" s="3" t="s">
        <v>26</v>
      </c>
      <c r="L310" s="6">
        <v>1.0</v>
      </c>
    </row>
    <row r="311">
      <c r="A311" s="3" t="s">
        <v>642</v>
      </c>
      <c r="B311" s="3" t="s">
        <v>643</v>
      </c>
      <c r="C311" s="4">
        <v>45258.0</v>
      </c>
      <c r="D311" s="4">
        <v>45270.0</v>
      </c>
      <c r="E311" s="3" t="s">
        <v>38</v>
      </c>
      <c r="F311" s="5">
        <v>1.2</v>
      </c>
      <c r="G311" s="5">
        <v>74.0</v>
      </c>
      <c r="H311" s="6">
        <v>1.0</v>
      </c>
      <c r="I311" s="5">
        <v>40.0</v>
      </c>
      <c r="J311" s="3" t="s">
        <v>32</v>
      </c>
      <c r="K311" s="3" t="s">
        <v>16</v>
      </c>
      <c r="L311" s="6">
        <v>1.0</v>
      </c>
    </row>
    <row r="312">
      <c r="A312" s="3" t="s">
        <v>644</v>
      </c>
      <c r="B312" s="3" t="s">
        <v>645</v>
      </c>
      <c r="C312" s="4">
        <v>45235.0</v>
      </c>
      <c r="D312" s="4">
        <v>45247.0</v>
      </c>
      <c r="E312" s="3" t="s">
        <v>29</v>
      </c>
      <c r="F312" s="5">
        <v>1.6</v>
      </c>
      <c r="G312" s="5">
        <v>32.0</v>
      </c>
      <c r="H312" s="6">
        <v>1.0</v>
      </c>
      <c r="I312" s="5">
        <v>17.0</v>
      </c>
      <c r="J312" s="3" t="s">
        <v>23</v>
      </c>
      <c r="K312" s="3" t="s">
        <v>16</v>
      </c>
      <c r="L312" s="6">
        <v>0.0</v>
      </c>
    </row>
    <row r="313">
      <c r="A313" s="3" t="s">
        <v>646</v>
      </c>
      <c r="B313" s="3" t="s">
        <v>647</v>
      </c>
      <c r="C313" s="4">
        <v>45281.0</v>
      </c>
      <c r="D313" s="4">
        <v>45293.0</v>
      </c>
      <c r="E313" s="3" t="s">
        <v>29</v>
      </c>
      <c r="F313" s="5">
        <v>3.2</v>
      </c>
      <c r="G313" s="5">
        <v>8.0</v>
      </c>
      <c r="H313" s="6">
        <v>1.0</v>
      </c>
      <c r="I313" s="5">
        <v>42.0</v>
      </c>
      <c r="J313" s="3" t="s">
        <v>15</v>
      </c>
      <c r="K313" s="3" t="s">
        <v>16</v>
      </c>
      <c r="L313" s="6">
        <v>1.0</v>
      </c>
    </row>
    <row r="314">
      <c r="A314" s="3" t="s">
        <v>648</v>
      </c>
      <c r="B314" s="3" t="s">
        <v>649</v>
      </c>
      <c r="C314" s="4">
        <v>45122.0</v>
      </c>
      <c r="D314" s="4">
        <v>45134.0</v>
      </c>
      <c r="E314" s="3" t="s">
        <v>29</v>
      </c>
      <c r="F314" s="5">
        <v>1.0</v>
      </c>
      <c r="G314" s="5">
        <v>44.0</v>
      </c>
      <c r="H314" s="6">
        <v>1.0</v>
      </c>
      <c r="I314" s="5">
        <v>45.0</v>
      </c>
      <c r="J314" s="3" t="s">
        <v>15</v>
      </c>
      <c r="K314" s="3" t="s">
        <v>16</v>
      </c>
      <c r="L314" s="6">
        <v>1.0</v>
      </c>
    </row>
    <row r="315">
      <c r="A315" s="3" t="s">
        <v>650</v>
      </c>
      <c r="B315" s="3" t="s">
        <v>651</v>
      </c>
      <c r="C315" s="4">
        <v>45119.0</v>
      </c>
      <c r="D315" s="4">
        <v>45131.0</v>
      </c>
      <c r="E315" s="3" t="s">
        <v>29</v>
      </c>
      <c r="F315" s="5">
        <v>3.4</v>
      </c>
      <c r="G315" s="5">
        <v>78.0</v>
      </c>
      <c r="H315" s="6">
        <v>0.0</v>
      </c>
      <c r="I315" s="5">
        <v>31.0</v>
      </c>
      <c r="J315" s="3" t="s">
        <v>32</v>
      </c>
      <c r="K315" s="3" t="s">
        <v>16</v>
      </c>
      <c r="L315" s="6">
        <v>1.0</v>
      </c>
    </row>
    <row r="316">
      <c r="A316" s="3" t="s">
        <v>652</v>
      </c>
      <c r="B316" s="3" t="s">
        <v>653</v>
      </c>
      <c r="C316" s="4">
        <v>44933.0</v>
      </c>
      <c r="D316" s="4">
        <v>44945.0</v>
      </c>
      <c r="E316" s="3" t="s">
        <v>22</v>
      </c>
      <c r="F316" s="5">
        <v>2.4</v>
      </c>
      <c r="G316" s="5">
        <v>72.0</v>
      </c>
      <c r="H316" s="6">
        <v>0.0</v>
      </c>
      <c r="I316" s="5">
        <v>56.0</v>
      </c>
      <c r="J316" s="3" t="s">
        <v>15</v>
      </c>
      <c r="K316" s="3" t="s">
        <v>16</v>
      </c>
      <c r="L316" s="6">
        <v>1.0</v>
      </c>
    </row>
    <row r="317">
      <c r="A317" s="3" t="s">
        <v>654</v>
      </c>
      <c r="B317" s="3" t="s">
        <v>655</v>
      </c>
      <c r="C317" s="4">
        <v>44960.0</v>
      </c>
      <c r="D317" s="4">
        <v>44972.0</v>
      </c>
      <c r="E317" s="3" t="s">
        <v>14</v>
      </c>
      <c r="F317" s="5">
        <v>4.6</v>
      </c>
      <c r="G317" s="5">
        <v>98.0</v>
      </c>
      <c r="H317" s="6">
        <v>1.0</v>
      </c>
      <c r="I317" s="5">
        <v>20.0</v>
      </c>
      <c r="J317" s="3" t="s">
        <v>15</v>
      </c>
      <c r="K317" s="3" t="s">
        <v>26</v>
      </c>
      <c r="L317" s="6">
        <v>1.0</v>
      </c>
    </row>
    <row r="318">
      <c r="A318" s="3" t="s">
        <v>656</v>
      </c>
      <c r="B318" s="3" t="s">
        <v>657</v>
      </c>
      <c r="C318" s="4">
        <v>45212.0</v>
      </c>
      <c r="D318" s="4">
        <v>45224.0</v>
      </c>
      <c r="E318" s="3" t="s">
        <v>38</v>
      </c>
      <c r="F318" s="5">
        <v>4.8</v>
      </c>
      <c r="G318" s="5">
        <v>34.0</v>
      </c>
      <c r="H318" s="6">
        <v>1.0</v>
      </c>
      <c r="I318" s="5">
        <v>36.0</v>
      </c>
      <c r="J318" s="3" t="s">
        <v>35</v>
      </c>
      <c r="K318" s="3" t="s">
        <v>16</v>
      </c>
      <c r="L318" s="6">
        <v>0.0</v>
      </c>
    </row>
    <row r="319">
      <c r="A319" s="3" t="s">
        <v>658</v>
      </c>
      <c r="B319" s="3" t="s">
        <v>659</v>
      </c>
      <c r="C319" s="4">
        <v>45268.0</v>
      </c>
      <c r="D319" s="4">
        <v>45280.0</v>
      </c>
      <c r="E319" s="3" t="s">
        <v>22</v>
      </c>
      <c r="F319" s="5">
        <v>1.7</v>
      </c>
      <c r="G319" s="5">
        <v>85.0</v>
      </c>
      <c r="H319" s="6">
        <v>1.0</v>
      </c>
      <c r="I319" s="5">
        <v>46.0</v>
      </c>
      <c r="J319" s="3" t="s">
        <v>32</v>
      </c>
      <c r="K319" s="3" t="s">
        <v>47</v>
      </c>
      <c r="L319" s="6">
        <v>1.0</v>
      </c>
    </row>
    <row r="320">
      <c r="A320" s="3" t="s">
        <v>660</v>
      </c>
      <c r="B320" s="3" t="s">
        <v>661</v>
      </c>
      <c r="C320" s="4">
        <v>44941.0</v>
      </c>
      <c r="D320" s="4">
        <v>44953.0</v>
      </c>
      <c r="E320" s="3" t="s">
        <v>29</v>
      </c>
      <c r="F320" s="5">
        <v>4.2</v>
      </c>
      <c r="G320" s="5">
        <v>79.0</v>
      </c>
      <c r="H320" s="6">
        <v>1.0</v>
      </c>
      <c r="I320" s="5">
        <v>25.0</v>
      </c>
      <c r="J320" s="3" t="s">
        <v>23</v>
      </c>
      <c r="K320" s="3" t="s">
        <v>16</v>
      </c>
      <c r="L320" s="6">
        <v>1.0</v>
      </c>
    </row>
    <row r="321">
      <c r="A321" s="3" t="s">
        <v>662</v>
      </c>
      <c r="B321" s="3" t="s">
        <v>663</v>
      </c>
      <c r="C321" s="4">
        <v>45235.0</v>
      </c>
      <c r="D321" s="4">
        <v>45247.0</v>
      </c>
      <c r="E321" s="3" t="s">
        <v>14</v>
      </c>
      <c r="F321" s="5">
        <v>1.3</v>
      </c>
      <c r="G321" s="5">
        <v>6.0</v>
      </c>
      <c r="H321" s="6">
        <v>0.0</v>
      </c>
      <c r="I321" s="5">
        <v>48.0</v>
      </c>
      <c r="J321" s="3" t="s">
        <v>19</v>
      </c>
      <c r="K321" s="3" t="s">
        <v>16</v>
      </c>
      <c r="L321" s="6">
        <v>0.0</v>
      </c>
    </row>
    <row r="322">
      <c r="A322" s="3" t="s">
        <v>664</v>
      </c>
      <c r="B322" s="3" t="s">
        <v>665</v>
      </c>
      <c r="C322" s="4">
        <v>45013.0</v>
      </c>
      <c r="D322" s="4">
        <v>45025.0</v>
      </c>
      <c r="E322" s="3" t="s">
        <v>22</v>
      </c>
      <c r="F322" s="5">
        <v>3.9</v>
      </c>
      <c r="G322" s="5">
        <v>76.0</v>
      </c>
      <c r="H322" s="6">
        <v>1.0</v>
      </c>
      <c r="I322" s="5">
        <v>13.0</v>
      </c>
      <c r="J322" s="3" t="s">
        <v>32</v>
      </c>
      <c r="K322" s="3" t="s">
        <v>16</v>
      </c>
      <c r="L322" s="6">
        <v>1.0</v>
      </c>
    </row>
    <row r="323">
      <c r="A323" s="3" t="s">
        <v>666</v>
      </c>
      <c r="B323" s="3" t="s">
        <v>667</v>
      </c>
      <c r="C323" s="4">
        <v>45018.0</v>
      </c>
      <c r="D323" s="4">
        <v>45030.0</v>
      </c>
      <c r="E323" s="3" t="s">
        <v>22</v>
      </c>
      <c r="F323" s="5">
        <v>3.3</v>
      </c>
      <c r="G323" s="5">
        <v>97.0</v>
      </c>
      <c r="H323" s="6">
        <v>0.0</v>
      </c>
      <c r="I323" s="5">
        <v>29.0</v>
      </c>
      <c r="J323" s="3" t="s">
        <v>32</v>
      </c>
      <c r="K323" s="3" t="s">
        <v>16</v>
      </c>
      <c r="L323" s="6">
        <v>1.0</v>
      </c>
    </row>
    <row r="324">
      <c r="A324" s="3" t="s">
        <v>668</v>
      </c>
      <c r="B324" s="3" t="s">
        <v>669</v>
      </c>
      <c r="C324" s="4">
        <v>45122.0</v>
      </c>
      <c r="D324" s="4">
        <v>45134.0</v>
      </c>
      <c r="E324" s="3" t="s">
        <v>38</v>
      </c>
      <c r="F324" s="5">
        <v>1.8</v>
      </c>
      <c r="G324" s="5">
        <v>47.0</v>
      </c>
      <c r="H324" s="6">
        <v>1.0</v>
      </c>
      <c r="I324" s="5">
        <v>31.0</v>
      </c>
      <c r="J324" s="3" t="s">
        <v>32</v>
      </c>
      <c r="K324" s="3" t="s">
        <v>47</v>
      </c>
      <c r="L324" s="6">
        <v>1.0</v>
      </c>
    </row>
    <row r="325">
      <c r="A325" s="3" t="s">
        <v>670</v>
      </c>
      <c r="B325" s="3" t="s">
        <v>671</v>
      </c>
      <c r="C325" s="4">
        <v>45277.0</v>
      </c>
      <c r="D325" s="4">
        <v>45289.0</v>
      </c>
      <c r="E325" s="3" t="s">
        <v>38</v>
      </c>
      <c r="F325" s="5">
        <v>0.4</v>
      </c>
      <c r="G325" s="5">
        <v>84.0</v>
      </c>
      <c r="H325" s="6">
        <v>0.0</v>
      </c>
      <c r="I325" s="5">
        <v>44.0</v>
      </c>
      <c r="J325" s="3" t="s">
        <v>32</v>
      </c>
      <c r="K325" s="3" t="s">
        <v>47</v>
      </c>
      <c r="L325" s="6">
        <v>1.0</v>
      </c>
    </row>
    <row r="326">
      <c r="A326" s="3" t="s">
        <v>672</v>
      </c>
      <c r="B326" s="3" t="s">
        <v>673</v>
      </c>
      <c r="C326" s="4">
        <v>45030.0</v>
      </c>
      <c r="D326" s="4">
        <v>45042.0</v>
      </c>
      <c r="E326" s="3" t="s">
        <v>29</v>
      </c>
      <c r="F326" s="5">
        <v>2.3</v>
      </c>
      <c r="G326" s="5">
        <v>87.0</v>
      </c>
      <c r="H326" s="6">
        <v>1.0</v>
      </c>
      <c r="I326" s="5">
        <v>28.0</v>
      </c>
      <c r="J326" s="3" t="s">
        <v>15</v>
      </c>
      <c r="K326" s="3" t="s">
        <v>16</v>
      </c>
      <c r="L326" s="6">
        <v>1.0</v>
      </c>
    </row>
    <row r="327">
      <c r="A327" s="3" t="s">
        <v>674</v>
      </c>
      <c r="B327" s="3" t="s">
        <v>675</v>
      </c>
      <c r="C327" s="4">
        <v>45270.0</v>
      </c>
      <c r="D327" s="4">
        <v>45282.0</v>
      </c>
      <c r="E327" s="3" t="s">
        <v>29</v>
      </c>
      <c r="F327" s="5">
        <v>2.1</v>
      </c>
      <c r="G327" s="5">
        <v>88.0</v>
      </c>
      <c r="H327" s="6">
        <v>0.0</v>
      </c>
      <c r="I327" s="5">
        <v>53.0</v>
      </c>
      <c r="J327" s="3" t="s">
        <v>19</v>
      </c>
      <c r="K327" s="3" t="s">
        <v>26</v>
      </c>
      <c r="L327" s="6">
        <v>1.0</v>
      </c>
    </row>
    <row r="328">
      <c r="A328" s="3" t="s">
        <v>676</v>
      </c>
      <c r="B328" s="3" t="s">
        <v>677</v>
      </c>
      <c r="C328" s="4">
        <v>44951.0</v>
      </c>
      <c r="D328" s="4">
        <v>44963.0</v>
      </c>
      <c r="E328" s="3" t="s">
        <v>29</v>
      </c>
      <c r="F328" s="5">
        <v>4.7</v>
      </c>
      <c r="G328" s="5">
        <v>55.0</v>
      </c>
      <c r="H328" s="6">
        <v>0.0</v>
      </c>
      <c r="I328" s="5">
        <v>40.0</v>
      </c>
      <c r="J328" s="3" t="s">
        <v>19</v>
      </c>
      <c r="K328" s="3" t="s">
        <v>47</v>
      </c>
      <c r="L328" s="6">
        <v>1.0</v>
      </c>
    </row>
    <row r="329">
      <c r="A329" s="3" t="s">
        <v>678</v>
      </c>
      <c r="B329" s="3" t="s">
        <v>679</v>
      </c>
      <c r="C329" s="4">
        <v>45162.0</v>
      </c>
      <c r="D329" s="4">
        <v>45174.0</v>
      </c>
      <c r="E329" s="3" t="s">
        <v>38</v>
      </c>
      <c r="F329" s="5">
        <v>4.5</v>
      </c>
      <c r="G329" s="5">
        <v>95.0</v>
      </c>
      <c r="H329" s="6">
        <v>0.0</v>
      </c>
      <c r="I329" s="5">
        <v>37.0</v>
      </c>
      <c r="J329" s="3" t="s">
        <v>23</v>
      </c>
      <c r="K329" s="3" t="s">
        <v>47</v>
      </c>
      <c r="L329" s="6">
        <v>0.0</v>
      </c>
    </row>
    <row r="330">
      <c r="A330" s="3" t="s">
        <v>680</v>
      </c>
      <c r="B330" s="3" t="s">
        <v>681</v>
      </c>
      <c r="C330" s="4">
        <v>44959.0</v>
      </c>
      <c r="D330" s="4">
        <v>44971.0</v>
      </c>
      <c r="E330" s="3" t="s">
        <v>14</v>
      </c>
      <c r="F330" s="5">
        <v>0.8</v>
      </c>
      <c r="G330" s="5">
        <v>19.0</v>
      </c>
      <c r="H330" s="6">
        <v>1.0</v>
      </c>
      <c r="I330" s="5">
        <v>47.0</v>
      </c>
      <c r="J330" s="3" t="s">
        <v>23</v>
      </c>
      <c r="K330" s="3" t="s">
        <v>47</v>
      </c>
      <c r="L330" s="6">
        <v>1.0</v>
      </c>
    </row>
    <row r="331">
      <c r="A331" s="3" t="s">
        <v>682</v>
      </c>
      <c r="B331" s="3" t="s">
        <v>683</v>
      </c>
      <c r="C331" s="4">
        <v>45169.0</v>
      </c>
      <c r="D331" s="4">
        <v>45181.0</v>
      </c>
      <c r="E331" s="3" t="s">
        <v>14</v>
      </c>
      <c r="F331" s="5">
        <v>2.9</v>
      </c>
      <c r="G331" s="5">
        <v>15.0</v>
      </c>
      <c r="H331" s="6">
        <v>0.0</v>
      </c>
      <c r="I331" s="5">
        <v>16.0</v>
      </c>
      <c r="J331" s="3" t="s">
        <v>15</v>
      </c>
      <c r="K331" s="3" t="s">
        <v>47</v>
      </c>
      <c r="L331" s="6">
        <v>1.0</v>
      </c>
    </row>
    <row r="332">
      <c r="A332" s="3" t="s">
        <v>684</v>
      </c>
      <c r="B332" s="3" t="s">
        <v>685</v>
      </c>
      <c r="C332" s="4">
        <v>45208.0</v>
      </c>
      <c r="D332" s="4">
        <v>45220.0</v>
      </c>
      <c r="E332" s="3" t="s">
        <v>38</v>
      </c>
      <c r="F332" s="5">
        <v>2.0</v>
      </c>
      <c r="G332" s="5">
        <v>86.0</v>
      </c>
      <c r="H332" s="6">
        <v>0.0</v>
      </c>
      <c r="I332" s="5">
        <v>49.0</v>
      </c>
      <c r="J332" s="3" t="s">
        <v>19</v>
      </c>
      <c r="K332" s="3" t="s">
        <v>26</v>
      </c>
      <c r="L332" s="6">
        <v>1.0</v>
      </c>
    </row>
    <row r="333">
      <c r="A333" s="3" t="s">
        <v>686</v>
      </c>
      <c r="B333" s="3" t="s">
        <v>687</v>
      </c>
      <c r="C333" s="4">
        <v>45256.0</v>
      </c>
      <c r="D333" s="4">
        <v>45268.0</v>
      </c>
      <c r="E333" s="3" t="s">
        <v>22</v>
      </c>
      <c r="F333" s="5">
        <v>1.4</v>
      </c>
      <c r="G333" s="5">
        <v>99.0</v>
      </c>
      <c r="H333" s="6">
        <v>0.0</v>
      </c>
      <c r="I333" s="5">
        <v>41.0</v>
      </c>
      <c r="J333" s="3" t="s">
        <v>32</v>
      </c>
      <c r="K333" s="3" t="s">
        <v>16</v>
      </c>
      <c r="L333" s="6">
        <v>1.0</v>
      </c>
    </row>
    <row r="334">
      <c r="A334" s="3" t="s">
        <v>688</v>
      </c>
      <c r="B334" s="3" t="s">
        <v>689</v>
      </c>
      <c r="C334" s="4">
        <v>45284.0</v>
      </c>
      <c r="D334" s="4">
        <v>45296.0</v>
      </c>
      <c r="E334" s="3" t="s">
        <v>22</v>
      </c>
      <c r="F334" s="5">
        <v>2.6</v>
      </c>
      <c r="G334" s="5">
        <v>70.0</v>
      </c>
      <c r="H334" s="6">
        <v>1.0</v>
      </c>
      <c r="I334" s="5">
        <v>50.0</v>
      </c>
      <c r="J334" s="3" t="s">
        <v>35</v>
      </c>
      <c r="K334" s="3" t="s">
        <v>16</v>
      </c>
      <c r="L334" s="6">
        <v>1.0</v>
      </c>
    </row>
    <row r="335">
      <c r="A335" s="3" t="s">
        <v>690</v>
      </c>
      <c r="B335" s="3" t="s">
        <v>691</v>
      </c>
      <c r="C335" s="4">
        <v>45291.0</v>
      </c>
      <c r="D335" s="4">
        <v>45303.0</v>
      </c>
      <c r="E335" s="3" t="s">
        <v>29</v>
      </c>
      <c r="F335" s="5">
        <v>0.7</v>
      </c>
      <c r="G335" s="5">
        <v>9.0</v>
      </c>
      <c r="H335" s="6">
        <v>1.0</v>
      </c>
      <c r="I335" s="5">
        <v>17.0</v>
      </c>
      <c r="J335" s="3" t="s">
        <v>35</v>
      </c>
      <c r="K335" s="3" t="s">
        <v>47</v>
      </c>
      <c r="L335" s="6">
        <v>1.0</v>
      </c>
    </row>
    <row r="336">
      <c r="A336" s="3" t="s">
        <v>692</v>
      </c>
      <c r="B336" s="3" t="s">
        <v>693</v>
      </c>
      <c r="C336" s="4">
        <v>45072.0</v>
      </c>
      <c r="D336" s="4">
        <v>45084.0</v>
      </c>
      <c r="E336" s="3" t="s">
        <v>22</v>
      </c>
      <c r="F336" s="5">
        <v>3.8</v>
      </c>
      <c r="G336" s="5">
        <v>41.0</v>
      </c>
      <c r="H336" s="6">
        <v>1.0</v>
      </c>
      <c r="I336" s="5">
        <v>38.0</v>
      </c>
      <c r="J336" s="3" t="s">
        <v>19</v>
      </c>
      <c r="K336" s="3" t="s">
        <v>16</v>
      </c>
      <c r="L336" s="6">
        <v>1.0</v>
      </c>
    </row>
    <row r="337">
      <c r="A337" s="3" t="s">
        <v>694</v>
      </c>
      <c r="B337" s="3" t="s">
        <v>695</v>
      </c>
      <c r="C337" s="4">
        <v>45078.0</v>
      </c>
      <c r="D337" s="4">
        <v>45090.0</v>
      </c>
      <c r="E337" s="3" t="s">
        <v>29</v>
      </c>
      <c r="F337" s="5">
        <v>2.2</v>
      </c>
      <c r="G337" s="5">
        <v>5.0</v>
      </c>
      <c r="H337" s="6">
        <v>0.0</v>
      </c>
      <c r="I337" s="5">
        <v>24.0</v>
      </c>
      <c r="J337" s="3" t="s">
        <v>15</v>
      </c>
      <c r="K337" s="3" t="s">
        <v>16</v>
      </c>
      <c r="L337" s="6">
        <v>0.0</v>
      </c>
    </row>
    <row r="338">
      <c r="A338" s="3" t="s">
        <v>696</v>
      </c>
      <c r="B338" s="3" t="s">
        <v>697</v>
      </c>
      <c r="C338" s="4">
        <v>45218.0</v>
      </c>
      <c r="D338" s="4">
        <v>45230.0</v>
      </c>
      <c r="E338" s="3" t="s">
        <v>22</v>
      </c>
      <c r="F338" s="5">
        <v>2.7</v>
      </c>
      <c r="G338" s="5">
        <v>11.0</v>
      </c>
      <c r="H338" s="6">
        <v>0.0</v>
      </c>
      <c r="I338" s="5">
        <v>35.0</v>
      </c>
      <c r="J338" s="3" t="s">
        <v>32</v>
      </c>
      <c r="K338" s="3" t="s">
        <v>47</v>
      </c>
      <c r="L338" s="6">
        <v>1.0</v>
      </c>
    </row>
    <row r="339">
      <c r="A339" s="3" t="s">
        <v>698</v>
      </c>
      <c r="B339" s="3" t="s">
        <v>699</v>
      </c>
      <c r="C339" s="4">
        <v>45218.0</v>
      </c>
      <c r="D339" s="4">
        <v>45230.0</v>
      </c>
      <c r="E339" s="3" t="s">
        <v>29</v>
      </c>
      <c r="F339" s="5">
        <v>0.9</v>
      </c>
      <c r="G339" s="5">
        <v>96.0</v>
      </c>
      <c r="H339" s="6">
        <v>0.0</v>
      </c>
      <c r="I339" s="5">
        <v>51.0</v>
      </c>
      <c r="J339" s="3" t="s">
        <v>32</v>
      </c>
      <c r="K339" s="3" t="s">
        <v>26</v>
      </c>
      <c r="L339" s="6">
        <v>1.0</v>
      </c>
    </row>
    <row r="340">
      <c r="A340" s="3" t="s">
        <v>700</v>
      </c>
      <c r="B340" s="3" t="s">
        <v>701</v>
      </c>
      <c r="C340" s="4">
        <v>45089.0</v>
      </c>
      <c r="D340" s="4">
        <v>45101.0</v>
      </c>
      <c r="E340" s="3" t="s">
        <v>29</v>
      </c>
      <c r="F340" s="5">
        <v>0.0</v>
      </c>
      <c r="G340" s="5">
        <v>59.0</v>
      </c>
      <c r="H340" s="6">
        <v>0.0</v>
      </c>
      <c r="I340" s="5">
        <v>22.0</v>
      </c>
      <c r="J340" s="3" t="s">
        <v>32</v>
      </c>
      <c r="K340" s="3" t="s">
        <v>47</v>
      </c>
      <c r="L340" s="6">
        <v>1.0</v>
      </c>
    </row>
    <row r="341">
      <c r="A341" s="3" t="s">
        <v>702</v>
      </c>
      <c r="B341" s="3" t="s">
        <v>703</v>
      </c>
      <c r="C341" s="4">
        <v>45011.0</v>
      </c>
      <c r="D341" s="4">
        <v>45023.0</v>
      </c>
      <c r="E341" s="3" t="s">
        <v>29</v>
      </c>
      <c r="F341" s="5">
        <v>0.3</v>
      </c>
      <c r="G341" s="5">
        <v>27.0</v>
      </c>
      <c r="H341" s="6">
        <v>1.0</v>
      </c>
      <c r="I341" s="5">
        <v>32.0</v>
      </c>
      <c r="J341" s="3" t="s">
        <v>23</v>
      </c>
      <c r="K341" s="3" t="s">
        <v>47</v>
      </c>
      <c r="L341" s="6">
        <v>1.0</v>
      </c>
    </row>
    <row r="342">
      <c r="A342" s="3" t="s">
        <v>704</v>
      </c>
      <c r="B342" s="3" t="s">
        <v>705</v>
      </c>
      <c r="C342" s="4">
        <v>45203.0</v>
      </c>
      <c r="D342" s="4">
        <v>45215.0</v>
      </c>
      <c r="E342" s="3" t="s">
        <v>29</v>
      </c>
      <c r="F342" s="5">
        <v>5.0</v>
      </c>
      <c r="G342" s="5">
        <v>20.0</v>
      </c>
      <c r="H342" s="6">
        <v>0.0</v>
      </c>
      <c r="I342" s="5">
        <v>19.0</v>
      </c>
      <c r="J342" s="3" t="s">
        <v>23</v>
      </c>
      <c r="K342" s="3" t="s">
        <v>16</v>
      </c>
      <c r="L342" s="6">
        <v>1.0</v>
      </c>
    </row>
    <row r="343">
      <c r="A343" s="3" t="s">
        <v>706</v>
      </c>
      <c r="B343" s="3" t="s">
        <v>707</v>
      </c>
      <c r="C343" s="4">
        <v>45189.0</v>
      </c>
      <c r="D343" s="4">
        <v>45201.0</v>
      </c>
      <c r="E343" s="3" t="s">
        <v>14</v>
      </c>
      <c r="F343" s="5">
        <v>4.0</v>
      </c>
      <c r="G343" s="5">
        <v>30.0</v>
      </c>
      <c r="H343" s="6">
        <v>1.0</v>
      </c>
      <c r="I343" s="5">
        <v>56.0</v>
      </c>
      <c r="J343" s="3" t="s">
        <v>19</v>
      </c>
      <c r="K343" s="3" t="s">
        <v>16</v>
      </c>
      <c r="L343" s="6">
        <v>0.0</v>
      </c>
    </row>
    <row r="344">
      <c r="A344" s="3" t="s">
        <v>708</v>
      </c>
      <c r="B344" s="3" t="s">
        <v>709</v>
      </c>
      <c r="C344" s="4">
        <v>45183.0</v>
      </c>
      <c r="D344" s="4">
        <v>45195.0</v>
      </c>
      <c r="E344" s="3" t="s">
        <v>29</v>
      </c>
      <c r="F344" s="5">
        <v>2.5</v>
      </c>
      <c r="G344" s="5">
        <v>13.0</v>
      </c>
      <c r="H344" s="6">
        <v>0.0</v>
      </c>
      <c r="I344" s="5">
        <v>18.0</v>
      </c>
      <c r="J344" s="3" t="s">
        <v>35</v>
      </c>
      <c r="K344" s="3" t="s">
        <v>26</v>
      </c>
      <c r="L344" s="6">
        <v>0.0</v>
      </c>
    </row>
    <row r="345">
      <c r="A345" s="3" t="s">
        <v>710</v>
      </c>
      <c r="B345" s="3" t="s">
        <v>711</v>
      </c>
      <c r="C345" s="4">
        <v>45244.0</v>
      </c>
      <c r="D345" s="4">
        <v>45256.0</v>
      </c>
      <c r="E345" s="3" t="s">
        <v>29</v>
      </c>
      <c r="F345" s="5">
        <v>4.1</v>
      </c>
      <c r="G345" s="5">
        <v>54.0</v>
      </c>
      <c r="H345" s="6">
        <v>0.0</v>
      </c>
      <c r="I345" s="5">
        <v>52.0</v>
      </c>
      <c r="J345" s="3" t="s">
        <v>32</v>
      </c>
      <c r="K345" s="3" t="s">
        <v>26</v>
      </c>
      <c r="L345" s="6">
        <v>1.0</v>
      </c>
    </row>
    <row r="346">
      <c r="A346" s="3" t="s">
        <v>712</v>
      </c>
      <c r="B346" s="3" t="s">
        <v>713</v>
      </c>
      <c r="C346" s="4">
        <v>45163.0</v>
      </c>
      <c r="D346" s="4">
        <v>45175.0</v>
      </c>
      <c r="E346" s="3" t="s">
        <v>38</v>
      </c>
      <c r="F346" s="5">
        <v>1.1</v>
      </c>
      <c r="G346" s="5">
        <v>58.0</v>
      </c>
      <c r="H346" s="6">
        <v>1.0</v>
      </c>
      <c r="I346" s="5">
        <v>43.0</v>
      </c>
      <c r="J346" s="3" t="s">
        <v>23</v>
      </c>
      <c r="K346" s="3" t="s">
        <v>26</v>
      </c>
      <c r="L346" s="6">
        <v>1.0</v>
      </c>
    </row>
    <row r="347">
      <c r="A347" s="3" t="s">
        <v>714</v>
      </c>
      <c r="B347" s="3" t="s">
        <v>715</v>
      </c>
      <c r="C347" s="4">
        <v>45016.0</v>
      </c>
      <c r="D347" s="4">
        <v>45028.0</v>
      </c>
      <c r="E347" s="3" t="s">
        <v>29</v>
      </c>
      <c r="F347" s="5">
        <v>3.7</v>
      </c>
      <c r="G347" s="5">
        <v>63.0</v>
      </c>
      <c r="H347" s="6">
        <v>1.0</v>
      </c>
      <c r="I347" s="5">
        <v>26.0</v>
      </c>
      <c r="J347" s="3" t="s">
        <v>19</v>
      </c>
      <c r="K347" s="3" t="s">
        <v>26</v>
      </c>
      <c r="L347" s="6">
        <v>0.0</v>
      </c>
    </row>
    <row r="348">
      <c r="A348" s="3" t="s">
        <v>716</v>
      </c>
      <c r="B348" s="3" t="s">
        <v>717</v>
      </c>
      <c r="C348" s="4">
        <v>45285.0</v>
      </c>
      <c r="D348" s="4">
        <v>45297.0</v>
      </c>
      <c r="E348" s="3" t="s">
        <v>38</v>
      </c>
      <c r="F348" s="5">
        <v>3.0</v>
      </c>
      <c r="G348" s="5">
        <v>60.0</v>
      </c>
      <c r="H348" s="6">
        <v>1.0</v>
      </c>
      <c r="I348" s="5">
        <v>15.0</v>
      </c>
      <c r="J348" s="3" t="s">
        <v>23</v>
      </c>
      <c r="K348" s="3" t="s">
        <v>47</v>
      </c>
      <c r="L348" s="6">
        <v>1.0</v>
      </c>
    </row>
    <row r="349">
      <c r="A349" s="3" t="s">
        <v>718</v>
      </c>
      <c r="B349" s="3" t="s">
        <v>719</v>
      </c>
      <c r="C349" s="4">
        <v>44998.0</v>
      </c>
      <c r="D349" s="4">
        <v>45010.0</v>
      </c>
      <c r="E349" s="3" t="s">
        <v>14</v>
      </c>
      <c r="F349" s="5">
        <v>0.2</v>
      </c>
      <c r="G349" s="5">
        <v>52.0</v>
      </c>
      <c r="H349" s="6">
        <v>0.0</v>
      </c>
      <c r="I349" s="5">
        <v>27.0</v>
      </c>
      <c r="J349" s="3" t="s">
        <v>32</v>
      </c>
      <c r="K349" s="3" t="s">
        <v>26</v>
      </c>
      <c r="L349" s="6">
        <v>1.0</v>
      </c>
    </row>
    <row r="350">
      <c r="A350" s="3" t="s">
        <v>720</v>
      </c>
      <c r="B350" s="3" t="s">
        <v>721</v>
      </c>
      <c r="C350" s="4">
        <v>45189.0</v>
      </c>
      <c r="D350" s="4">
        <v>45201.0</v>
      </c>
      <c r="E350" s="3" t="s">
        <v>22</v>
      </c>
      <c r="F350" s="5">
        <v>4.3</v>
      </c>
      <c r="G350" s="5">
        <v>90.0</v>
      </c>
      <c r="H350" s="6">
        <v>0.0</v>
      </c>
      <c r="I350" s="5">
        <v>21.0</v>
      </c>
      <c r="J350" s="3" t="s">
        <v>19</v>
      </c>
      <c r="K350" s="3" t="s">
        <v>26</v>
      </c>
      <c r="L350" s="6">
        <v>1.0</v>
      </c>
    </row>
    <row r="351">
      <c r="A351" s="3" t="s">
        <v>722</v>
      </c>
      <c r="B351" s="3" t="s">
        <v>723</v>
      </c>
      <c r="C351" s="4">
        <v>45148.0</v>
      </c>
      <c r="D351" s="4">
        <v>45160.0</v>
      </c>
      <c r="E351" s="3" t="s">
        <v>14</v>
      </c>
      <c r="F351" s="5">
        <v>2.8</v>
      </c>
      <c r="G351" s="5">
        <v>93.0</v>
      </c>
      <c r="H351" s="6">
        <v>0.0</v>
      </c>
      <c r="I351" s="5">
        <v>14.0</v>
      </c>
      <c r="J351" s="3" t="s">
        <v>15</v>
      </c>
      <c r="K351" s="3" t="s">
        <v>26</v>
      </c>
      <c r="L351" s="6">
        <v>1.0</v>
      </c>
    </row>
    <row r="352">
      <c r="A352" s="3" t="s">
        <v>724</v>
      </c>
      <c r="B352" s="3" t="s">
        <v>725</v>
      </c>
      <c r="C352" s="4">
        <v>45084.0</v>
      </c>
      <c r="D352" s="4">
        <v>45096.0</v>
      </c>
      <c r="E352" s="3" t="s">
        <v>14</v>
      </c>
      <c r="F352" s="5">
        <v>3.1</v>
      </c>
      <c r="G352" s="5">
        <v>80.0</v>
      </c>
      <c r="H352" s="6">
        <v>1.0</v>
      </c>
      <c r="I352" s="5">
        <v>30.0</v>
      </c>
      <c r="J352" s="3" t="s">
        <v>32</v>
      </c>
      <c r="K352" s="3" t="s">
        <v>26</v>
      </c>
      <c r="L352" s="6">
        <v>1.0</v>
      </c>
    </row>
    <row r="353">
      <c r="A353" s="3" t="s">
        <v>726</v>
      </c>
      <c r="B353" s="3" t="s">
        <v>727</v>
      </c>
      <c r="C353" s="4">
        <v>45030.0</v>
      </c>
      <c r="D353" s="4">
        <v>45042.0</v>
      </c>
      <c r="E353" s="3" t="s">
        <v>38</v>
      </c>
      <c r="F353" s="5">
        <v>3.6</v>
      </c>
      <c r="G353" s="5">
        <v>33.0</v>
      </c>
      <c r="H353" s="6">
        <v>0.0</v>
      </c>
      <c r="I353" s="5">
        <v>42.0</v>
      </c>
      <c r="J353" s="3" t="s">
        <v>19</v>
      </c>
      <c r="K353" s="3" t="s">
        <v>26</v>
      </c>
      <c r="L353" s="6">
        <v>1.0</v>
      </c>
    </row>
    <row r="354">
      <c r="A354" s="3" t="s">
        <v>728</v>
      </c>
      <c r="B354" s="3" t="s">
        <v>729</v>
      </c>
      <c r="C354" s="4">
        <v>44946.0</v>
      </c>
      <c r="D354" s="4">
        <v>44958.0</v>
      </c>
      <c r="E354" s="3" t="s">
        <v>22</v>
      </c>
      <c r="F354" s="5">
        <v>3.5</v>
      </c>
      <c r="G354" s="5">
        <v>49.0</v>
      </c>
      <c r="H354" s="6">
        <v>1.0</v>
      </c>
      <c r="I354" s="5">
        <v>34.0</v>
      </c>
      <c r="J354" s="3" t="s">
        <v>19</v>
      </c>
      <c r="K354" s="3" t="s">
        <v>16</v>
      </c>
      <c r="L354" s="6">
        <v>1.0</v>
      </c>
    </row>
    <row r="355">
      <c r="A355" s="3" t="s">
        <v>730</v>
      </c>
      <c r="B355" s="3" t="s">
        <v>731</v>
      </c>
      <c r="C355" s="4">
        <v>44974.0</v>
      </c>
      <c r="D355" s="4">
        <v>44986.0</v>
      </c>
      <c r="E355" s="3" t="s">
        <v>38</v>
      </c>
      <c r="F355" s="5">
        <v>1.5</v>
      </c>
      <c r="G355" s="5">
        <v>64.0</v>
      </c>
      <c r="H355" s="6">
        <v>1.0</v>
      </c>
      <c r="I355" s="5">
        <v>39.0</v>
      </c>
      <c r="J355" s="3" t="s">
        <v>32</v>
      </c>
      <c r="K355" s="3" t="s">
        <v>47</v>
      </c>
      <c r="L355" s="6">
        <v>0.0</v>
      </c>
    </row>
    <row r="356">
      <c r="A356" s="3" t="s">
        <v>732</v>
      </c>
      <c r="B356" s="3" t="s">
        <v>733</v>
      </c>
      <c r="C356" s="4">
        <v>44994.0</v>
      </c>
      <c r="D356" s="4">
        <v>45006.0</v>
      </c>
      <c r="E356" s="3" t="s">
        <v>14</v>
      </c>
      <c r="F356" s="5">
        <v>0.5</v>
      </c>
      <c r="G356" s="5">
        <v>16.0</v>
      </c>
      <c r="H356" s="6">
        <v>1.0</v>
      </c>
      <c r="I356" s="5">
        <v>23.0</v>
      </c>
      <c r="J356" s="3" t="s">
        <v>35</v>
      </c>
      <c r="K356" s="3" t="s">
        <v>26</v>
      </c>
      <c r="L356" s="6">
        <v>0.0</v>
      </c>
    </row>
    <row r="357">
      <c r="A357" s="3" t="s">
        <v>734</v>
      </c>
      <c r="B357" s="3" t="s">
        <v>735</v>
      </c>
      <c r="C357" s="4">
        <v>45062.0</v>
      </c>
      <c r="D357" s="4">
        <v>45074.0</v>
      </c>
      <c r="E357" s="3" t="s">
        <v>38</v>
      </c>
      <c r="F357" s="5">
        <v>1.9</v>
      </c>
      <c r="G357" s="5">
        <v>18.0</v>
      </c>
      <c r="H357" s="6">
        <v>0.0</v>
      </c>
      <c r="I357" s="5">
        <v>54.0</v>
      </c>
      <c r="J357" s="3" t="s">
        <v>32</v>
      </c>
      <c r="K357" s="3" t="s">
        <v>16</v>
      </c>
      <c r="L357" s="6">
        <v>0.0</v>
      </c>
    </row>
    <row r="358">
      <c r="A358" s="3" t="s">
        <v>736</v>
      </c>
      <c r="B358" s="3" t="s">
        <v>737</v>
      </c>
      <c r="C358" s="4">
        <v>44983.0</v>
      </c>
      <c r="D358" s="4">
        <v>44995.0</v>
      </c>
      <c r="E358" s="3" t="s">
        <v>14</v>
      </c>
      <c r="F358" s="5">
        <v>4.4</v>
      </c>
      <c r="G358" s="5">
        <v>69.0</v>
      </c>
      <c r="H358" s="6">
        <v>1.0</v>
      </c>
      <c r="I358" s="5">
        <v>12.0</v>
      </c>
      <c r="J358" s="3" t="s">
        <v>35</v>
      </c>
      <c r="K358" s="3" t="s">
        <v>16</v>
      </c>
      <c r="L358" s="6">
        <v>1.0</v>
      </c>
    </row>
    <row r="359">
      <c r="A359" s="3" t="s">
        <v>738</v>
      </c>
      <c r="B359" s="3" t="s">
        <v>739</v>
      </c>
      <c r="C359" s="4">
        <v>45020.0</v>
      </c>
      <c r="D359" s="4">
        <v>45032.0</v>
      </c>
      <c r="E359" s="3" t="s">
        <v>29</v>
      </c>
      <c r="F359" s="5">
        <v>3.4</v>
      </c>
      <c r="G359" s="5">
        <v>40.0</v>
      </c>
      <c r="H359" s="6">
        <v>0.0</v>
      </c>
      <c r="I359" s="5">
        <v>45.0</v>
      </c>
      <c r="J359" s="3" t="s">
        <v>35</v>
      </c>
      <c r="K359" s="3" t="s">
        <v>47</v>
      </c>
      <c r="L359" s="6">
        <v>1.0</v>
      </c>
    </row>
    <row r="360">
      <c r="A360" s="3" t="s">
        <v>740</v>
      </c>
      <c r="B360" s="3" t="s">
        <v>741</v>
      </c>
      <c r="C360" s="4">
        <v>45139.0</v>
      </c>
      <c r="D360" s="4">
        <v>45151.0</v>
      </c>
      <c r="E360" s="3" t="s">
        <v>22</v>
      </c>
      <c r="F360" s="5">
        <v>1.1</v>
      </c>
      <c r="G360" s="5">
        <v>38.0</v>
      </c>
      <c r="H360" s="6">
        <v>1.0</v>
      </c>
      <c r="I360" s="5">
        <v>55.0</v>
      </c>
      <c r="J360" s="3" t="s">
        <v>32</v>
      </c>
      <c r="K360" s="3" t="s">
        <v>16</v>
      </c>
      <c r="L360" s="6">
        <v>0.0</v>
      </c>
    </row>
    <row r="361">
      <c r="A361" s="3" t="s">
        <v>742</v>
      </c>
      <c r="B361" s="3" t="s">
        <v>743</v>
      </c>
      <c r="C361" s="4">
        <v>45255.0</v>
      </c>
      <c r="D361" s="4">
        <v>45267.0</v>
      </c>
      <c r="E361" s="3" t="s">
        <v>29</v>
      </c>
      <c r="F361" s="5">
        <v>1.7</v>
      </c>
      <c r="G361" s="5">
        <v>25.0</v>
      </c>
      <c r="H361" s="6">
        <v>1.0</v>
      </c>
      <c r="I361" s="5">
        <v>33.0</v>
      </c>
      <c r="J361" s="3" t="s">
        <v>35</v>
      </c>
      <c r="K361" s="3" t="s">
        <v>16</v>
      </c>
      <c r="L361" s="6">
        <v>1.0</v>
      </c>
    </row>
    <row r="362">
      <c r="A362" s="3" t="s">
        <v>744</v>
      </c>
      <c r="B362" s="3" t="s">
        <v>745</v>
      </c>
      <c r="C362" s="4">
        <v>45073.0</v>
      </c>
      <c r="D362" s="4">
        <v>45085.0</v>
      </c>
      <c r="E362" s="3" t="s">
        <v>38</v>
      </c>
      <c r="F362" s="5">
        <v>1.4</v>
      </c>
      <c r="G362" s="5">
        <v>94.0</v>
      </c>
      <c r="H362" s="6">
        <v>0.0</v>
      </c>
      <c r="I362" s="5">
        <v>14.0</v>
      </c>
      <c r="J362" s="3" t="s">
        <v>32</v>
      </c>
      <c r="K362" s="3" t="s">
        <v>26</v>
      </c>
      <c r="L362" s="6">
        <v>1.0</v>
      </c>
    </row>
    <row r="363">
      <c r="A363" s="3" t="s">
        <v>746</v>
      </c>
      <c r="B363" s="3" t="s">
        <v>747</v>
      </c>
      <c r="C363" s="4">
        <v>45077.0</v>
      </c>
      <c r="D363" s="4">
        <v>45089.0</v>
      </c>
      <c r="E363" s="3" t="s">
        <v>22</v>
      </c>
      <c r="F363" s="5">
        <v>1.0</v>
      </c>
      <c r="G363" s="5">
        <v>89.0</v>
      </c>
      <c r="H363" s="6">
        <v>0.0</v>
      </c>
      <c r="I363" s="5">
        <v>33.0</v>
      </c>
      <c r="J363" s="3" t="s">
        <v>32</v>
      </c>
      <c r="K363" s="3" t="s">
        <v>16</v>
      </c>
      <c r="L363" s="6">
        <v>1.0</v>
      </c>
    </row>
    <row r="364">
      <c r="A364" s="3" t="s">
        <v>748</v>
      </c>
      <c r="B364" s="3" t="s">
        <v>749</v>
      </c>
      <c r="C364" s="4">
        <v>44973.0</v>
      </c>
      <c r="D364" s="4">
        <v>44985.0</v>
      </c>
      <c r="E364" s="3" t="s">
        <v>14</v>
      </c>
      <c r="F364" s="5">
        <v>3.2</v>
      </c>
      <c r="G364" s="5">
        <v>73.0</v>
      </c>
      <c r="H364" s="6">
        <v>0.0</v>
      </c>
      <c r="I364" s="5">
        <v>17.0</v>
      </c>
      <c r="J364" s="3" t="s">
        <v>19</v>
      </c>
      <c r="K364" s="3" t="s">
        <v>26</v>
      </c>
      <c r="L364" s="6">
        <v>1.0</v>
      </c>
    </row>
    <row r="365">
      <c r="A365" s="3" t="s">
        <v>750</v>
      </c>
      <c r="B365" s="3" t="s">
        <v>751</v>
      </c>
      <c r="C365" s="4">
        <v>45222.0</v>
      </c>
      <c r="D365" s="4">
        <v>45234.0</v>
      </c>
      <c r="E365" s="3" t="s">
        <v>29</v>
      </c>
      <c r="F365" s="5">
        <v>4.1</v>
      </c>
      <c r="G365" s="5">
        <v>28.0</v>
      </c>
      <c r="H365" s="6">
        <v>0.0</v>
      </c>
      <c r="I365" s="5">
        <v>49.0</v>
      </c>
      <c r="J365" s="3" t="s">
        <v>19</v>
      </c>
      <c r="K365" s="3" t="s">
        <v>47</v>
      </c>
      <c r="L365" s="6">
        <v>1.0</v>
      </c>
    </row>
    <row r="366">
      <c r="A366" s="3" t="s">
        <v>752</v>
      </c>
      <c r="B366" s="3" t="s">
        <v>753</v>
      </c>
      <c r="C366" s="4">
        <v>44983.0</v>
      </c>
      <c r="D366" s="4">
        <v>44995.0</v>
      </c>
      <c r="E366" s="3" t="s">
        <v>38</v>
      </c>
      <c r="F366" s="5">
        <v>4.0</v>
      </c>
      <c r="G366" s="5">
        <v>66.0</v>
      </c>
      <c r="H366" s="6">
        <v>1.0</v>
      </c>
      <c r="I366" s="5">
        <v>25.0</v>
      </c>
      <c r="J366" s="3" t="s">
        <v>35</v>
      </c>
      <c r="K366" s="3" t="s">
        <v>26</v>
      </c>
      <c r="L366" s="6">
        <v>0.0</v>
      </c>
    </row>
    <row r="367">
      <c r="A367" s="3" t="s">
        <v>754</v>
      </c>
      <c r="B367" s="3" t="s">
        <v>755</v>
      </c>
      <c r="C367" s="4">
        <v>45089.0</v>
      </c>
      <c r="D367" s="4">
        <v>45101.0</v>
      </c>
      <c r="E367" s="3" t="s">
        <v>22</v>
      </c>
      <c r="F367" s="5">
        <v>3.7</v>
      </c>
      <c r="G367" s="5">
        <v>23.0</v>
      </c>
      <c r="H367" s="6">
        <v>1.0</v>
      </c>
      <c r="I367" s="5">
        <v>39.0</v>
      </c>
      <c r="J367" s="3" t="s">
        <v>32</v>
      </c>
      <c r="K367" s="3" t="s">
        <v>16</v>
      </c>
      <c r="L367" s="6">
        <v>0.0</v>
      </c>
    </row>
    <row r="368">
      <c r="A368" s="3" t="s">
        <v>756</v>
      </c>
      <c r="B368" s="3" t="s">
        <v>757</v>
      </c>
      <c r="C368" s="4">
        <v>44987.0</v>
      </c>
      <c r="D368" s="4">
        <v>44999.0</v>
      </c>
      <c r="E368" s="3" t="s">
        <v>29</v>
      </c>
      <c r="F368" s="5">
        <v>2.3</v>
      </c>
      <c r="G368" s="5">
        <v>92.0</v>
      </c>
      <c r="H368" s="6">
        <v>0.0</v>
      </c>
      <c r="I368" s="5">
        <v>48.0</v>
      </c>
      <c r="J368" s="3" t="s">
        <v>32</v>
      </c>
      <c r="K368" s="3" t="s">
        <v>26</v>
      </c>
      <c r="L368" s="6">
        <v>0.0</v>
      </c>
    </row>
    <row r="369">
      <c r="A369" s="3" t="s">
        <v>758</v>
      </c>
      <c r="B369" s="3" t="s">
        <v>759</v>
      </c>
      <c r="C369" s="4">
        <v>45025.0</v>
      </c>
      <c r="D369" s="4">
        <v>45037.0</v>
      </c>
      <c r="E369" s="3" t="s">
        <v>29</v>
      </c>
      <c r="F369" s="5">
        <v>4.2</v>
      </c>
      <c r="G369" s="5">
        <v>45.0</v>
      </c>
      <c r="H369" s="6">
        <v>0.0</v>
      </c>
      <c r="I369" s="5">
        <v>35.0</v>
      </c>
      <c r="J369" s="3" t="s">
        <v>19</v>
      </c>
      <c r="K369" s="3" t="s">
        <v>16</v>
      </c>
      <c r="L369" s="6">
        <v>1.0</v>
      </c>
    </row>
    <row r="370">
      <c r="A370" s="3" t="s">
        <v>760</v>
      </c>
      <c r="B370" s="3" t="s">
        <v>761</v>
      </c>
      <c r="C370" s="4">
        <v>44955.0</v>
      </c>
      <c r="D370" s="4">
        <v>44967.0</v>
      </c>
      <c r="E370" s="3" t="s">
        <v>29</v>
      </c>
      <c r="F370" s="5">
        <v>0.7</v>
      </c>
      <c r="G370" s="5">
        <v>62.0</v>
      </c>
      <c r="H370" s="6">
        <v>0.0</v>
      </c>
      <c r="I370" s="5">
        <v>15.0</v>
      </c>
      <c r="J370" s="3" t="s">
        <v>23</v>
      </c>
      <c r="K370" s="3" t="s">
        <v>26</v>
      </c>
      <c r="L370" s="6">
        <v>1.0</v>
      </c>
    </row>
    <row r="371">
      <c r="A371" s="3" t="s">
        <v>762</v>
      </c>
      <c r="B371" s="3" t="s">
        <v>763</v>
      </c>
      <c r="C371" s="4">
        <v>45175.0</v>
      </c>
      <c r="D371" s="4">
        <v>45187.0</v>
      </c>
      <c r="E371" s="3" t="s">
        <v>22</v>
      </c>
      <c r="F371" s="5">
        <v>4.3</v>
      </c>
      <c r="G371" s="5">
        <v>46.0</v>
      </c>
      <c r="H371" s="6">
        <v>1.0</v>
      </c>
      <c r="I371" s="5">
        <v>45.0</v>
      </c>
      <c r="J371" s="3" t="s">
        <v>35</v>
      </c>
      <c r="K371" s="3" t="s">
        <v>26</v>
      </c>
      <c r="L371" s="6">
        <v>0.0</v>
      </c>
    </row>
    <row r="372">
      <c r="A372" s="3" t="s">
        <v>764</v>
      </c>
      <c r="B372" s="3" t="s">
        <v>765</v>
      </c>
      <c r="C372" s="4">
        <v>44986.0</v>
      </c>
      <c r="D372" s="4">
        <v>44998.0</v>
      </c>
      <c r="E372" s="3" t="s">
        <v>29</v>
      </c>
      <c r="F372" s="5">
        <v>2.2</v>
      </c>
      <c r="G372" s="5">
        <v>39.0</v>
      </c>
      <c r="H372" s="6">
        <v>1.0</v>
      </c>
      <c r="I372" s="5">
        <v>44.0</v>
      </c>
      <c r="J372" s="3" t="s">
        <v>23</v>
      </c>
      <c r="K372" s="3" t="s">
        <v>16</v>
      </c>
      <c r="L372" s="6">
        <v>1.0</v>
      </c>
    </row>
    <row r="373">
      <c r="A373" s="3" t="s">
        <v>766</v>
      </c>
      <c r="B373" s="3" t="s">
        <v>767</v>
      </c>
      <c r="C373" s="4">
        <v>44940.0</v>
      </c>
      <c r="D373" s="4">
        <v>44952.0</v>
      </c>
      <c r="E373" s="3" t="s">
        <v>14</v>
      </c>
      <c r="F373" s="5">
        <v>3.6</v>
      </c>
      <c r="G373" s="5">
        <v>24.0</v>
      </c>
      <c r="H373" s="6">
        <v>0.0</v>
      </c>
      <c r="I373" s="5">
        <v>38.0</v>
      </c>
      <c r="J373" s="3" t="s">
        <v>23</v>
      </c>
      <c r="K373" s="3" t="s">
        <v>26</v>
      </c>
      <c r="L373" s="6">
        <v>1.0</v>
      </c>
    </row>
    <row r="374">
      <c r="A374" s="3" t="s">
        <v>768</v>
      </c>
      <c r="B374" s="3" t="s">
        <v>769</v>
      </c>
      <c r="C374" s="4">
        <v>45049.0</v>
      </c>
      <c r="D374" s="4">
        <v>45061.0</v>
      </c>
      <c r="E374" s="3" t="s">
        <v>22</v>
      </c>
      <c r="F374" s="5">
        <v>1.9</v>
      </c>
      <c r="G374" s="5">
        <v>61.0</v>
      </c>
      <c r="H374" s="6">
        <v>1.0</v>
      </c>
      <c r="I374" s="5">
        <v>51.0</v>
      </c>
      <c r="J374" s="3" t="s">
        <v>19</v>
      </c>
      <c r="K374" s="3" t="s">
        <v>26</v>
      </c>
      <c r="L374" s="6">
        <v>0.0</v>
      </c>
    </row>
    <row r="375">
      <c r="A375" s="3" t="s">
        <v>770</v>
      </c>
      <c r="B375" s="3" t="s">
        <v>771</v>
      </c>
      <c r="C375" s="4">
        <v>45081.0</v>
      </c>
      <c r="D375" s="4">
        <v>45093.0</v>
      </c>
      <c r="E375" s="3" t="s">
        <v>29</v>
      </c>
      <c r="F375" s="5">
        <v>0.2</v>
      </c>
      <c r="G375" s="5">
        <v>7.0</v>
      </c>
      <c r="H375" s="6">
        <v>1.0</v>
      </c>
      <c r="I375" s="5">
        <v>30.0</v>
      </c>
      <c r="J375" s="3" t="s">
        <v>23</v>
      </c>
      <c r="K375" s="3" t="s">
        <v>47</v>
      </c>
      <c r="L375" s="6">
        <v>1.0</v>
      </c>
    </row>
    <row r="376">
      <c r="A376" s="3" t="s">
        <v>772</v>
      </c>
      <c r="B376" s="3" t="s">
        <v>773</v>
      </c>
      <c r="C376" s="4">
        <v>45004.0</v>
      </c>
      <c r="D376" s="4">
        <v>45016.0</v>
      </c>
      <c r="E376" s="3" t="s">
        <v>14</v>
      </c>
      <c r="F376" s="5">
        <v>0.3</v>
      </c>
      <c r="G376" s="5">
        <v>26.0</v>
      </c>
      <c r="H376" s="6">
        <v>0.0</v>
      </c>
      <c r="I376" s="5">
        <v>26.0</v>
      </c>
      <c r="J376" s="3" t="s">
        <v>19</v>
      </c>
      <c r="K376" s="3" t="s">
        <v>26</v>
      </c>
      <c r="L376" s="6">
        <v>1.0</v>
      </c>
    </row>
    <row r="377">
      <c r="A377" s="3" t="s">
        <v>774</v>
      </c>
      <c r="B377" s="3" t="s">
        <v>775</v>
      </c>
      <c r="C377" s="4">
        <v>45052.0</v>
      </c>
      <c r="D377" s="4">
        <v>45064.0</v>
      </c>
      <c r="E377" s="3" t="s">
        <v>14</v>
      </c>
      <c r="F377" s="5">
        <v>0.8</v>
      </c>
      <c r="G377" s="5">
        <v>43.0</v>
      </c>
      <c r="H377" s="6">
        <v>0.0</v>
      </c>
      <c r="I377" s="5">
        <v>46.0</v>
      </c>
      <c r="J377" s="3" t="s">
        <v>23</v>
      </c>
      <c r="K377" s="3" t="s">
        <v>47</v>
      </c>
      <c r="L377" s="6">
        <v>1.0</v>
      </c>
    </row>
    <row r="378">
      <c r="A378" s="3" t="s">
        <v>776</v>
      </c>
      <c r="B378" s="3" t="s">
        <v>777</v>
      </c>
      <c r="C378" s="4">
        <v>45001.0</v>
      </c>
      <c r="D378" s="4">
        <v>45013.0</v>
      </c>
      <c r="E378" s="3" t="s">
        <v>14</v>
      </c>
      <c r="F378" s="5">
        <v>3.1</v>
      </c>
      <c r="G378" s="5">
        <v>35.0</v>
      </c>
      <c r="H378" s="6">
        <v>1.0</v>
      </c>
      <c r="I378" s="5">
        <v>34.0</v>
      </c>
      <c r="J378" s="3" t="s">
        <v>19</v>
      </c>
      <c r="K378" s="3" t="s">
        <v>26</v>
      </c>
      <c r="L378" s="6">
        <v>1.0</v>
      </c>
    </row>
    <row r="379">
      <c r="A379" s="3" t="s">
        <v>778</v>
      </c>
      <c r="B379" s="3" t="s">
        <v>779</v>
      </c>
      <c r="C379" s="4">
        <v>45014.0</v>
      </c>
      <c r="D379" s="4">
        <v>45026.0</v>
      </c>
      <c r="E379" s="3" t="s">
        <v>22</v>
      </c>
      <c r="F379" s="5">
        <v>3.5</v>
      </c>
      <c r="G379" s="5">
        <v>14.0</v>
      </c>
      <c r="H379" s="6">
        <v>1.0</v>
      </c>
      <c r="I379" s="5">
        <v>53.0</v>
      </c>
      <c r="J379" s="3" t="s">
        <v>32</v>
      </c>
      <c r="K379" s="3" t="s">
        <v>47</v>
      </c>
      <c r="L379" s="6">
        <v>1.0</v>
      </c>
    </row>
    <row r="380">
      <c r="A380" s="3" t="s">
        <v>780</v>
      </c>
      <c r="B380" s="3" t="s">
        <v>781</v>
      </c>
      <c r="C380" s="4">
        <v>45140.0</v>
      </c>
      <c r="D380" s="4">
        <v>45152.0</v>
      </c>
      <c r="E380" s="3" t="s">
        <v>22</v>
      </c>
      <c r="F380" s="5">
        <v>1.6</v>
      </c>
      <c r="G380" s="5">
        <v>36.0</v>
      </c>
      <c r="H380" s="6">
        <v>1.0</v>
      </c>
      <c r="I380" s="5">
        <v>36.0</v>
      </c>
      <c r="J380" s="3" t="s">
        <v>35</v>
      </c>
      <c r="K380" s="3" t="s">
        <v>16</v>
      </c>
      <c r="L380" s="6">
        <v>0.0</v>
      </c>
    </row>
    <row r="381">
      <c r="A381" s="3" t="s">
        <v>782</v>
      </c>
      <c r="B381" s="3" t="s">
        <v>783</v>
      </c>
      <c r="C381" s="4">
        <v>45018.0</v>
      </c>
      <c r="D381" s="4">
        <v>45030.0</v>
      </c>
      <c r="E381" s="3" t="s">
        <v>38</v>
      </c>
      <c r="F381" s="5">
        <v>4.4</v>
      </c>
      <c r="G381" s="5">
        <v>68.0</v>
      </c>
      <c r="H381" s="6">
        <v>1.0</v>
      </c>
      <c r="I381" s="5">
        <v>12.0</v>
      </c>
      <c r="J381" s="3" t="s">
        <v>19</v>
      </c>
      <c r="K381" s="3" t="s">
        <v>47</v>
      </c>
      <c r="L381" s="6">
        <v>1.0</v>
      </c>
    </row>
    <row r="382">
      <c r="A382" s="3" t="s">
        <v>784</v>
      </c>
      <c r="B382" s="3" t="s">
        <v>785</v>
      </c>
      <c r="C382" s="4">
        <v>44982.0</v>
      </c>
      <c r="D382" s="4">
        <v>44994.0</v>
      </c>
      <c r="E382" s="3" t="s">
        <v>29</v>
      </c>
      <c r="F382" s="5">
        <v>0.0</v>
      </c>
      <c r="G382" s="5">
        <v>56.0</v>
      </c>
      <c r="H382" s="6">
        <v>1.0</v>
      </c>
      <c r="I382" s="5">
        <v>13.0</v>
      </c>
      <c r="J382" s="3" t="s">
        <v>32</v>
      </c>
      <c r="K382" s="3" t="s">
        <v>47</v>
      </c>
      <c r="L382" s="6">
        <v>0.0</v>
      </c>
    </row>
    <row r="383">
      <c r="A383" s="3" t="s">
        <v>786</v>
      </c>
      <c r="B383" s="3" t="s">
        <v>787</v>
      </c>
      <c r="C383" s="4">
        <v>45012.0</v>
      </c>
      <c r="D383" s="4">
        <v>45024.0</v>
      </c>
      <c r="E383" s="3" t="s">
        <v>38</v>
      </c>
      <c r="F383" s="5">
        <v>1.2</v>
      </c>
      <c r="G383" s="5">
        <v>100.0</v>
      </c>
      <c r="H383" s="6">
        <v>0.0</v>
      </c>
      <c r="I383" s="5">
        <v>31.0</v>
      </c>
      <c r="J383" s="3" t="s">
        <v>35</v>
      </c>
      <c r="K383" s="3" t="s">
        <v>26</v>
      </c>
      <c r="L383" s="6">
        <v>1.0</v>
      </c>
    </row>
    <row r="384">
      <c r="A384" s="3" t="s">
        <v>788</v>
      </c>
      <c r="B384" s="3" t="s">
        <v>789</v>
      </c>
      <c r="C384" s="4">
        <v>45150.0</v>
      </c>
      <c r="D384" s="4">
        <v>45162.0</v>
      </c>
      <c r="E384" s="3" t="s">
        <v>22</v>
      </c>
      <c r="F384" s="5">
        <v>1.5</v>
      </c>
      <c r="G384" s="5">
        <v>77.0</v>
      </c>
      <c r="H384" s="6">
        <v>1.0</v>
      </c>
      <c r="I384" s="5">
        <v>43.0</v>
      </c>
      <c r="J384" s="3" t="s">
        <v>32</v>
      </c>
      <c r="K384" s="3" t="s">
        <v>16</v>
      </c>
      <c r="L384" s="6">
        <v>1.0</v>
      </c>
    </row>
    <row r="385">
      <c r="A385" s="3" t="s">
        <v>790</v>
      </c>
      <c r="B385" s="3" t="s">
        <v>791</v>
      </c>
      <c r="C385" s="4">
        <v>45018.0</v>
      </c>
      <c r="D385" s="4">
        <v>45030.0</v>
      </c>
      <c r="E385" s="3" t="s">
        <v>29</v>
      </c>
      <c r="F385" s="5">
        <v>4.6</v>
      </c>
      <c r="G385" s="5">
        <v>21.0</v>
      </c>
      <c r="H385" s="6">
        <v>1.0</v>
      </c>
      <c r="I385" s="5">
        <v>50.0</v>
      </c>
      <c r="J385" s="3" t="s">
        <v>19</v>
      </c>
      <c r="K385" s="3" t="s">
        <v>47</v>
      </c>
      <c r="L385" s="6">
        <v>1.0</v>
      </c>
    </row>
    <row r="386">
      <c r="A386" s="3" t="s">
        <v>792</v>
      </c>
      <c r="B386" s="3" t="s">
        <v>793</v>
      </c>
      <c r="C386" s="4">
        <v>45180.0</v>
      </c>
      <c r="D386" s="4">
        <v>45192.0</v>
      </c>
      <c r="E386" s="3" t="s">
        <v>14</v>
      </c>
      <c r="F386" s="5">
        <v>4.8</v>
      </c>
      <c r="G386" s="5">
        <v>81.0</v>
      </c>
      <c r="H386" s="6">
        <v>1.0</v>
      </c>
      <c r="I386" s="5">
        <v>47.0</v>
      </c>
      <c r="J386" s="3" t="s">
        <v>32</v>
      </c>
      <c r="K386" s="3" t="s">
        <v>47</v>
      </c>
      <c r="L386" s="6">
        <v>1.0</v>
      </c>
    </row>
    <row r="387">
      <c r="A387" s="3" t="s">
        <v>794</v>
      </c>
      <c r="B387" s="3" t="s">
        <v>795</v>
      </c>
      <c r="C387" s="4">
        <v>45206.0</v>
      </c>
      <c r="D387" s="4">
        <v>45218.0</v>
      </c>
      <c r="E387" s="3" t="s">
        <v>29</v>
      </c>
      <c r="F387" s="5">
        <v>2.8</v>
      </c>
      <c r="G387" s="5">
        <v>57.0</v>
      </c>
      <c r="H387" s="6">
        <v>1.0</v>
      </c>
      <c r="I387" s="5">
        <v>27.0</v>
      </c>
      <c r="J387" s="3" t="s">
        <v>23</v>
      </c>
      <c r="K387" s="3" t="s">
        <v>16</v>
      </c>
      <c r="L387" s="6">
        <v>0.0</v>
      </c>
    </row>
    <row r="388">
      <c r="A388" s="3" t="s">
        <v>796</v>
      </c>
      <c r="B388" s="3" t="s">
        <v>797</v>
      </c>
      <c r="C388" s="4">
        <v>45126.0</v>
      </c>
      <c r="D388" s="4">
        <v>45138.0</v>
      </c>
      <c r="E388" s="3" t="s">
        <v>38</v>
      </c>
      <c r="F388" s="5">
        <v>2.1</v>
      </c>
      <c r="G388" s="5">
        <v>17.0</v>
      </c>
      <c r="H388" s="6">
        <v>1.0</v>
      </c>
      <c r="I388" s="5">
        <v>20.0</v>
      </c>
      <c r="J388" s="3" t="s">
        <v>32</v>
      </c>
      <c r="K388" s="3" t="s">
        <v>16</v>
      </c>
      <c r="L388" s="6">
        <v>1.0</v>
      </c>
    </row>
    <row r="389">
      <c r="A389" s="3" t="s">
        <v>798</v>
      </c>
      <c r="B389" s="3" t="s">
        <v>799</v>
      </c>
      <c r="C389" s="4">
        <v>45203.0</v>
      </c>
      <c r="D389" s="4">
        <v>45215.0</v>
      </c>
      <c r="E389" s="3" t="s">
        <v>29</v>
      </c>
      <c r="F389" s="5">
        <v>3.0</v>
      </c>
      <c r="G389" s="5">
        <v>91.0</v>
      </c>
      <c r="H389" s="6">
        <v>1.0</v>
      </c>
      <c r="I389" s="5">
        <v>42.0</v>
      </c>
      <c r="J389" s="3" t="s">
        <v>23</v>
      </c>
      <c r="K389" s="3" t="s">
        <v>16</v>
      </c>
      <c r="L389" s="6">
        <v>1.0</v>
      </c>
    </row>
    <row r="390">
      <c r="A390" s="3" t="s">
        <v>800</v>
      </c>
      <c r="B390" s="3" t="s">
        <v>801</v>
      </c>
      <c r="C390" s="4">
        <v>45218.0</v>
      </c>
      <c r="D390" s="4">
        <v>45230.0</v>
      </c>
      <c r="E390" s="3" t="s">
        <v>29</v>
      </c>
      <c r="F390" s="5">
        <v>3.9</v>
      </c>
      <c r="G390" s="5">
        <v>2.0</v>
      </c>
      <c r="H390" s="6">
        <v>1.0</v>
      </c>
      <c r="I390" s="5">
        <v>52.0</v>
      </c>
      <c r="J390" s="3" t="s">
        <v>19</v>
      </c>
      <c r="K390" s="3" t="s">
        <v>16</v>
      </c>
      <c r="L390" s="6">
        <v>1.0</v>
      </c>
    </row>
    <row r="391">
      <c r="A391" s="3" t="s">
        <v>802</v>
      </c>
      <c r="B391" s="3" t="s">
        <v>803</v>
      </c>
      <c r="C391" s="4">
        <v>45124.0</v>
      </c>
      <c r="D391" s="4">
        <v>45136.0</v>
      </c>
      <c r="E391" s="3" t="s">
        <v>29</v>
      </c>
      <c r="F391" s="5">
        <v>4.7</v>
      </c>
      <c r="G391" s="5">
        <v>4.0</v>
      </c>
      <c r="H391" s="6">
        <v>0.0</v>
      </c>
      <c r="I391" s="5">
        <v>16.0</v>
      </c>
      <c r="J391" s="3" t="s">
        <v>19</v>
      </c>
      <c r="K391" s="3" t="s">
        <v>47</v>
      </c>
      <c r="L391" s="6">
        <v>1.0</v>
      </c>
    </row>
    <row r="392">
      <c r="A392" s="3" t="s">
        <v>804</v>
      </c>
      <c r="B392" s="3" t="s">
        <v>805</v>
      </c>
      <c r="C392" s="4">
        <v>45220.0</v>
      </c>
      <c r="D392" s="4">
        <v>45232.0</v>
      </c>
      <c r="E392" s="3" t="s">
        <v>22</v>
      </c>
      <c r="F392" s="5">
        <v>1.8</v>
      </c>
      <c r="G392" s="5">
        <v>10.0</v>
      </c>
      <c r="H392" s="6">
        <v>0.0</v>
      </c>
      <c r="I392" s="5">
        <v>37.0</v>
      </c>
      <c r="J392" s="3" t="s">
        <v>19</v>
      </c>
      <c r="K392" s="3" t="s">
        <v>47</v>
      </c>
      <c r="L392" s="6">
        <v>1.0</v>
      </c>
    </row>
    <row r="393">
      <c r="A393" s="3" t="s">
        <v>806</v>
      </c>
      <c r="B393" s="3" t="s">
        <v>807</v>
      </c>
      <c r="C393" s="4">
        <v>45088.0</v>
      </c>
      <c r="D393" s="4">
        <v>45100.0</v>
      </c>
      <c r="E393" s="3" t="s">
        <v>29</v>
      </c>
      <c r="F393" s="5">
        <v>0.5</v>
      </c>
      <c r="G393" s="5">
        <v>31.0</v>
      </c>
      <c r="H393" s="6">
        <v>1.0</v>
      </c>
      <c r="I393" s="5">
        <v>29.0</v>
      </c>
      <c r="J393" s="3" t="s">
        <v>32</v>
      </c>
      <c r="K393" s="3" t="s">
        <v>26</v>
      </c>
      <c r="L393" s="6">
        <v>1.0</v>
      </c>
    </row>
    <row r="394">
      <c r="A394" s="3" t="s">
        <v>808</v>
      </c>
      <c r="B394" s="3" t="s">
        <v>809</v>
      </c>
      <c r="C394" s="4">
        <v>44945.0</v>
      </c>
      <c r="D394" s="4">
        <v>44957.0</v>
      </c>
      <c r="E394" s="3" t="s">
        <v>29</v>
      </c>
      <c r="F394" s="5">
        <v>0.6</v>
      </c>
      <c r="G394" s="5">
        <v>12.0</v>
      </c>
      <c r="H394" s="6">
        <v>0.0</v>
      </c>
      <c r="I394" s="5">
        <v>19.0</v>
      </c>
      <c r="J394" s="3" t="s">
        <v>23</v>
      </c>
      <c r="K394" s="3" t="s">
        <v>26</v>
      </c>
      <c r="L394" s="6">
        <v>1.0</v>
      </c>
    </row>
    <row r="395">
      <c r="A395" s="3" t="s">
        <v>810</v>
      </c>
      <c r="B395" s="3" t="s">
        <v>811</v>
      </c>
      <c r="C395" s="4">
        <v>45214.0</v>
      </c>
      <c r="D395" s="4">
        <v>45226.0</v>
      </c>
      <c r="E395" s="3" t="s">
        <v>14</v>
      </c>
      <c r="F395" s="5">
        <v>2.4</v>
      </c>
      <c r="G395" s="5">
        <v>83.0</v>
      </c>
      <c r="H395" s="6">
        <v>0.0</v>
      </c>
      <c r="I395" s="5">
        <v>55.0</v>
      </c>
      <c r="J395" s="3" t="s">
        <v>23</v>
      </c>
      <c r="K395" s="3" t="s">
        <v>16</v>
      </c>
      <c r="L395" s="6">
        <v>1.0</v>
      </c>
    </row>
    <row r="396">
      <c r="A396" s="3" t="s">
        <v>812</v>
      </c>
      <c r="B396" s="3" t="s">
        <v>813</v>
      </c>
      <c r="C396" s="4">
        <v>45213.0</v>
      </c>
      <c r="D396" s="4">
        <v>45225.0</v>
      </c>
      <c r="E396" s="3" t="s">
        <v>38</v>
      </c>
      <c r="F396" s="5">
        <v>0.1</v>
      </c>
      <c r="G396" s="5">
        <v>50.0</v>
      </c>
      <c r="H396" s="6">
        <v>1.0</v>
      </c>
      <c r="I396" s="5">
        <v>54.0</v>
      </c>
      <c r="J396" s="3" t="s">
        <v>32</v>
      </c>
      <c r="K396" s="3" t="s">
        <v>47</v>
      </c>
      <c r="L396" s="6">
        <v>1.0</v>
      </c>
    </row>
    <row r="397">
      <c r="A397" s="3" t="s">
        <v>814</v>
      </c>
      <c r="B397" s="3" t="s">
        <v>815</v>
      </c>
      <c r="C397" s="4">
        <v>45100.0</v>
      </c>
      <c r="D397" s="4">
        <v>45112.0</v>
      </c>
      <c r="E397" s="3" t="s">
        <v>22</v>
      </c>
      <c r="F397" s="5">
        <v>4.9</v>
      </c>
      <c r="G397" s="5">
        <v>53.0</v>
      </c>
      <c r="H397" s="6">
        <v>0.0</v>
      </c>
      <c r="I397" s="5">
        <v>28.0</v>
      </c>
      <c r="J397" s="3" t="s">
        <v>23</v>
      </c>
      <c r="K397" s="3" t="s">
        <v>16</v>
      </c>
      <c r="L397" s="6">
        <v>1.0</v>
      </c>
    </row>
    <row r="398">
      <c r="A398" s="3" t="s">
        <v>816</v>
      </c>
      <c r="B398" s="3" t="s">
        <v>817</v>
      </c>
      <c r="C398" s="4">
        <v>45057.0</v>
      </c>
      <c r="D398" s="4">
        <v>45069.0</v>
      </c>
      <c r="E398" s="3" t="s">
        <v>38</v>
      </c>
      <c r="F398" s="5">
        <v>3.3</v>
      </c>
      <c r="G398" s="5">
        <v>3.0</v>
      </c>
      <c r="H398" s="6">
        <v>1.0</v>
      </c>
      <c r="I398" s="5">
        <v>24.0</v>
      </c>
      <c r="J398" s="3" t="s">
        <v>19</v>
      </c>
      <c r="K398" s="3" t="s">
        <v>16</v>
      </c>
      <c r="L398" s="6">
        <v>1.0</v>
      </c>
    </row>
    <row r="399">
      <c r="A399" s="3" t="s">
        <v>818</v>
      </c>
      <c r="B399" s="3" t="s">
        <v>819</v>
      </c>
      <c r="C399" s="4">
        <v>45076.0</v>
      </c>
      <c r="D399" s="4">
        <v>45088.0</v>
      </c>
      <c r="E399" s="3" t="s">
        <v>29</v>
      </c>
      <c r="F399" s="5">
        <v>2.0</v>
      </c>
      <c r="G399" s="5">
        <v>29.0</v>
      </c>
      <c r="H399" s="6">
        <v>1.0</v>
      </c>
      <c r="I399" s="5">
        <v>22.0</v>
      </c>
      <c r="J399" s="3" t="s">
        <v>35</v>
      </c>
      <c r="K399" s="3" t="s">
        <v>47</v>
      </c>
      <c r="L399" s="6">
        <v>1.0</v>
      </c>
    </row>
    <row r="400">
      <c r="A400" s="3" t="s">
        <v>820</v>
      </c>
      <c r="B400" s="3" t="s">
        <v>821</v>
      </c>
      <c r="C400" s="4">
        <v>45201.0</v>
      </c>
      <c r="D400" s="4">
        <v>45213.0</v>
      </c>
      <c r="E400" s="3" t="s">
        <v>22</v>
      </c>
      <c r="F400" s="5">
        <v>2.9</v>
      </c>
      <c r="G400" s="5">
        <v>67.0</v>
      </c>
      <c r="H400" s="6">
        <v>0.0</v>
      </c>
      <c r="I400" s="5">
        <v>40.0</v>
      </c>
      <c r="J400" s="3" t="s">
        <v>32</v>
      </c>
      <c r="K400" s="3" t="s">
        <v>47</v>
      </c>
      <c r="L400" s="6">
        <v>1.0</v>
      </c>
    </row>
    <row r="401">
      <c r="A401" s="3" t="s">
        <v>822</v>
      </c>
      <c r="B401" s="3" t="s">
        <v>823</v>
      </c>
      <c r="C401" s="4">
        <v>45263.0</v>
      </c>
      <c r="D401" s="4">
        <v>45275.0</v>
      </c>
      <c r="E401" s="3" t="s">
        <v>38</v>
      </c>
      <c r="F401" s="5">
        <v>0.4</v>
      </c>
      <c r="G401" s="5">
        <v>75.0</v>
      </c>
      <c r="H401" s="6">
        <v>1.0</v>
      </c>
      <c r="I401" s="5">
        <v>32.0</v>
      </c>
      <c r="J401" s="3" t="s">
        <v>15</v>
      </c>
      <c r="K401" s="3" t="s">
        <v>26</v>
      </c>
      <c r="L401" s="6">
        <v>1.0</v>
      </c>
    </row>
    <row r="402">
      <c r="A402" s="3" t="s">
        <v>824</v>
      </c>
      <c r="B402" s="3" t="s">
        <v>825</v>
      </c>
      <c r="C402" s="4">
        <v>45026.0</v>
      </c>
      <c r="D402" s="4">
        <v>45038.0</v>
      </c>
      <c r="E402" s="3" t="s">
        <v>22</v>
      </c>
      <c r="F402" s="5">
        <v>5.0</v>
      </c>
      <c r="G402" s="5">
        <v>71.0</v>
      </c>
      <c r="H402" s="6">
        <v>1.0</v>
      </c>
      <c r="I402" s="5">
        <v>41.0</v>
      </c>
      <c r="J402" s="3" t="s">
        <v>15</v>
      </c>
      <c r="K402" s="3" t="s">
        <v>16</v>
      </c>
      <c r="L402" s="6">
        <v>1.0</v>
      </c>
    </row>
    <row r="403">
      <c r="A403" s="3" t="s">
        <v>826</v>
      </c>
      <c r="B403" s="3" t="s">
        <v>827</v>
      </c>
      <c r="C403" s="4">
        <v>45195.0</v>
      </c>
      <c r="D403" s="4">
        <v>45207.0</v>
      </c>
      <c r="E403" s="3" t="s">
        <v>38</v>
      </c>
      <c r="F403" s="5">
        <v>2.6</v>
      </c>
      <c r="G403" s="5">
        <v>1.0</v>
      </c>
      <c r="H403" s="6">
        <v>0.0</v>
      </c>
      <c r="I403" s="5">
        <v>21.0</v>
      </c>
      <c r="J403" s="3" t="s">
        <v>23</v>
      </c>
      <c r="K403" s="3" t="s">
        <v>16</v>
      </c>
      <c r="L403" s="6">
        <v>1.0</v>
      </c>
    </row>
    <row r="404">
      <c r="A404" s="3" t="s">
        <v>828</v>
      </c>
      <c r="B404" s="3" t="s">
        <v>829</v>
      </c>
      <c r="C404" s="4">
        <v>45255.0</v>
      </c>
      <c r="D404" s="4">
        <v>45267.0</v>
      </c>
      <c r="E404" s="3" t="s">
        <v>14</v>
      </c>
      <c r="F404" s="5">
        <v>0.9</v>
      </c>
      <c r="G404" s="5">
        <v>22.0</v>
      </c>
      <c r="H404" s="6">
        <v>0.0</v>
      </c>
      <c r="I404" s="5">
        <v>23.0</v>
      </c>
      <c r="J404" s="3" t="s">
        <v>35</v>
      </c>
      <c r="K404" s="3" t="s">
        <v>16</v>
      </c>
      <c r="L404" s="6">
        <v>0.0</v>
      </c>
    </row>
    <row r="405">
      <c r="A405" s="3" t="s">
        <v>830</v>
      </c>
      <c r="B405" s="3" t="s">
        <v>831</v>
      </c>
      <c r="C405" s="4">
        <v>45115.0</v>
      </c>
      <c r="D405" s="4">
        <v>45127.0</v>
      </c>
      <c r="E405" s="3" t="s">
        <v>29</v>
      </c>
      <c r="F405" s="5">
        <v>3.8</v>
      </c>
      <c r="G405" s="5">
        <v>0.0</v>
      </c>
      <c r="H405" s="6">
        <v>1.0</v>
      </c>
      <c r="I405" s="5">
        <v>18.0</v>
      </c>
      <c r="J405" s="3" t="s">
        <v>19</v>
      </c>
      <c r="K405" s="3" t="s">
        <v>26</v>
      </c>
      <c r="L405" s="6">
        <v>1.0</v>
      </c>
    </row>
    <row r="406">
      <c r="A406" s="3" t="s">
        <v>832</v>
      </c>
      <c r="B406" s="3" t="s">
        <v>833</v>
      </c>
      <c r="C406" s="4">
        <v>45026.0</v>
      </c>
      <c r="D406" s="4">
        <v>45038.0</v>
      </c>
      <c r="E406" s="3" t="s">
        <v>22</v>
      </c>
      <c r="F406" s="5">
        <v>2.5</v>
      </c>
      <c r="G406" s="5">
        <v>50.0</v>
      </c>
      <c r="H406" s="6">
        <v>1.0</v>
      </c>
      <c r="I406" s="5">
        <v>56.0</v>
      </c>
      <c r="J406" s="3" t="s">
        <v>15</v>
      </c>
      <c r="K406" s="3" t="s">
        <v>47</v>
      </c>
      <c r="L406" s="6">
        <v>0.0</v>
      </c>
    </row>
    <row r="407">
      <c r="A407" s="3" t="s">
        <v>834</v>
      </c>
      <c r="B407" s="3" t="s">
        <v>835</v>
      </c>
      <c r="C407" s="4">
        <v>44958.0</v>
      </c>
      <c r="D407" s="4">
        <v>44970.0</v>
      </c>
      <c r="E407" s="3" t="s">
        <v>38</v>
      </c>
      <c r="F407" s="5">
        <v>4.5</v>
      </c>
      <c r="G407" s="5">
        <v>94.0</v>
      </c>
      <c r="H407" s="6">
        <v>1.0</v>
      </c>
      <c r="I407" s="5">
        <v>39.0</v>
      </c>
      <c r="J407" s="3" t="s">
        <v>15</v>
      </c>
      <c r="K407" s="3" t="s">
        <v>47</v>
      </c>
      <c r="L407" s="6">
        <v>1.0</v>
      </c>
    </row>
    <row r="408">
      <c r="A408" s="3" t="s">
        <v>836</v>
      </c>
      <c r="B408" s="3" t="s">
        <v>837</v>
      </c>
      <c r="C408" s="4">
        <v>45163.0</v>
      </c>
      <c r="D408" s="4">
        <v>45175.0</v>
      </c>
      <c r="E408" s="3" t="s">
        <v>14</v>
      </c>
      <c r="F408" s="5">
        <v>1.3</v>
      </c>
      <c r="G408" s="5">
        <v>7.0</v>
      </c>
      <c r="H408" s="6">
        <v>0.0</v>
      </c>
      <c r="I408" s="5">
        <v>52.0</v>
      </c>
      <c r="J408" s="3" t="s">
        <v>23</v>
      </c>
      <c r="K408" s="3" t="s">
        <v>47</v>
      </c>
      <c r="L408" s="6">
        <v>1.0</v>
      </c>
    </row>
    <row r="409">
      <c r="A409" s="3" t="s">
        <v>838</v>
      </c>
      <c r="B409" s="3" t="s">
        <v>839</v>
      </c>
      <c r="C409" s="4">
        <v>44976.0</v>
      </c>
      <c r="D409" s="4">
        <v>44988.0</v>
      </c>
      <c r="E409" s="3" t="s">
        <v>22</v>
      </c>
      <c r="F409" s="5">
        <v>2.7</v>
      </c>
      <c r="G409" s="5">
        <v>51.0</v>
      </c>
      <c r="H409" s="6">
        <v>0.0</v>
      </c>
      <c r="I409" s="5">
        <v>55.0</v>
      </c>
      <c r="J409" s="3" t="s">
        <v>19</v>
      </c>
      <c r="K409" s="3" t="s">
        <v>26</v>
      </c>
      <c r="L409" s="6">
        <v>1.0</v>
      </c>
    </row>
    <row r="410">
      <c r="A410" s="3" t="s">
        <v>840</v>
      </c>
      <c r="B410" s="3" t="s">
        <v>841</v>
      </c>
      <c r="C410" s="4">
        <v>45246.0</v>
      </c>
      <c r="D410" s="4">
        <v>45258.0</v>
      </c>
      <c r="E410" s="3" t="s">
        <v>38</v>
      </c>
      <c r="F410" s="5">
        <v>3.4</v>
      </c>
      <c r="G410" s="5">
        <v>27.0</v>
      </c>
      <c r="H410" s="6">
        <v>1.0</v>
      </c>
      <c r="I410" s="5">
        <v>27.0</v>
      </c>
      <c r="J410" s="3" t="s">
        <v>32</v>
      </c>
      <c r="K410" s="3" t="s">
        <v>16</v>
      </c>
      <c r="L410" s="6">
        <v>0.0</v>
      </c>
    </row>
    <row r="411">
      <c r="A411" s="3" t="s">
        <v>842</v>
      </c>
      <c r="B411" s="3" t="s">
        <v>843</v>
      </c>
      <c r="C411" s="4">
        <v>45034.0</v>
      </c>
      <c r="D411" s="4">
        <v>45046.0</v>
      </c>
      <c r="E411" s="3" t="s">
        <v>29</v>
      </c>
      <c r="F411" s="5">
        <v>1.1</v>
      </c>
      <c r="G411" s="5">
        <v>99.0</v>
      </c>
      <c r="H411" s="6">
        <v>1.0</v>
      </c>
      <c r="I411" s="5">
        <v>31.0</v>
      </c>
      <c r="J411" s="3" t="s">
        <v>32</v>
      </c>
      <c r="K411" s="3" t="s">
        <v>47</v>
      </c>
      <c r="L411" s="6">
        <v>1.0</v>
      </c>
    </row>
    <row r="412">
      <c r="A412" s="3" t="s">
        <v>844</v>
      </c>
      <c r="B412" s="3" t="s">
        <v>845</v>
      </c>
      <c r="C412" s="4">
        <v>45230.0</v>
      </c>
      <c r="D412" s="4">
        <v>45242.0</v>
      </c>
      <c r="E412" s="3" t="s">
        <v>14</v>
      </c>
      <c r="F412" s="5">
        <v>3.2</v>
      </c>
      <c r="G412" s="5">
        <v>73.0</v>
      </c>
      <c r="H412" s="6">
        <v>1.0</v>
      </c>
      <c r="I412" s="5">
        <v>42.0</v>
      </c>
      <c r="J412" s="3" t="s">
        <v>23</v>
      </c>
      <c r="K412" s="3" t="s">
        <v>47</v>
      </c>
      <c r="L412" s="6">
        <v>1.0</v>
      </c>
    </row>
    <row r="413">
      <c r="A413" s="3" t="s">
        <v>846</v>
      </c>
      <c r="B413" s="3" t="s">
        <v>847</v>
      </c>
      <c r="C413" s="4">
        <v>45237.0</v>
      </c>
      <c r="D413" s="4">
        <v>45249.0</v>
      </c>
      <c r="E413" s="3" t="s">
        <v>22</v>
      </c>
      <c r="F413" s="5">
        <v>0.8</v>
      </c>
      <c r="G413" s="5">
        <v>63.0</v>
      </c>
      <c r="H413" s="6">
        <v>1.0</v>
      </c>
      <c r="I413" s="5">
        <v>25.0</v>
      </c>
      <c r="J413" s="3" t="s">
        <v>35</v>
      </c>
      <c r="K413" s="3" t="s">
        <v>16</v>
      </c>
      <c r="L413" s="6">
        <v>0.0</v>
      </c>
    </row>
    <row r="414">
      <c r="A414" s="3" t="s">
        <v>848</v>
      </c>
      <c r="B414" s="3" t="s">
        <v>849</v>
      </c>
      <c r="C414" s="4">
        <v>45147.0</v>
      </c>
      <c r="D414" s="4">
        <v>45159.0</v>
      </c>
      <c r="E414" s="3" t="s">
        <v>38</v>
      </c>
      <c r="F414" s="5">
        <v>4.1</v>
      </c>
      <c r="G414" s="5">
        <v>57.0</v>
      </c>
      <c r="H414" s="6">
        <v>0.0</v>
      </c>
      <c r="I414" s="5">
        <v>35.0</v>
      </c>
      <c r="J414" s="3" t="s">
        <v>35</v>
      </c>
      <c r="K414" s="3" t="s">
        <v>16</v>
      </c>
      <c r="L414" s="6">
        <v>0.0</v>
      </c>
    </row>
    <row r="415">
      <c r="A415" s="3" t="s">
        <v>850</v>
      </c>
      <c r="B415" s="3" t="s">
        <v>851</v>
      </c>
      <c r="C415" s="4">
        <v>45221.0</v>
      </c>
      <c r="D415" s="4">
        <v>45233.0</v>
      </c>
      <c r="E415" s="3" t="s">
        <v>14</v>
      </c>
      <c r="F415" s="5">
        <v>2.5</v>
      </c>
      <c r="G415" s="5">
        <v>26.0</v>
      </c>
      <c r="H415" s="6">
        <v>1.0</v>
      </c>
      <c r="I415" s="5">
        <v>18.0</v>
      </c>
      <c r="J415" s="3" t="s">
        <v>35</v>
      </c>
      <c r="K415" s="3" t="s">
        <v>47</v>
      </c>
      <c r="L415" s="6">
        <v>1.0</v>
      </c>
    </row>
    <row r="416">
      <c r="A416" s="3" t="s">
        <v>852</v>
      </c>
      <c r="B416" s="3" t="s">
        <v>853</v>
      </c>
      <c r="C416" s="4">
        <v>44963.0</v>
      </c>
      <c r="D416" s="4">
        <v>44975.0</v>
      </c>
      <c r="E416" s="3" t="s">
        <v>14</v>
      </c>
      <c r="F416" s="5">
        <v>3.9</v>
      </c>
      <c r="G416" s="5">
        <v>10.0</v>
      </c>
      <c r="H416" s="6">
        <v>0.0</v>
      </c>
      <c r="I416" s="5">
        <v>40.0</v>
      </c>
      <c r="J416" s="3" t="s">
        <v>19</v>
      </c>
      <c r="K416" s="3" t="s">
        <v>47</v>
      </c>
      <c r="L416" s="6">
        <v>1.0</v>
      </c>
    </row>
    <row r="417">
      <c r="A417" s="3" t="s">
        <v>854</v>
      </c>
      <c r="B417" s="3" t="s">
        <v>855</v>
      </c>
      <c r="C417" s="4">
        <v>44960.0</v>
      </c>
      <c r="D417" s="4">
        <v>44972.0</v>
      </c>
      <c r="E417" s="3" t="s">
        <v>38</v>
      </c>
      <c r="F417" s="5">
        <v>2.2</v>
      </c>
      <c r="G417" s="5">
        <v>32.0</v>
      </c>
      <c r="H417" s="6">
        <v>1.0</v>
      </c>
      <c r="I417" s="5">
        <v>23.0</v>
      </c>
      <c r="J417" s="3" t="s">
        <v>23</v>
      </c>
      <c r="K417" s="3" t="s">
        <v>26</v>
      </c>
      <c r="L417" s="6">
        <v>0.0</v>
      </c>
    </row>
    <row r="418">
      <c r="A418" s="3" t="s">
        <v>856</v>
      </c>
      <c r="B418" s="3" t="s">
        <v>857</v>
      </c>
      <c r="C418" s="4">
        <v>45026.0</v>
      </c>
      <c r="D418" s="4">
        <v>45038.0</v>
      </c>
      <c r="E418" s="3" t="s">
        <v>22</v>
      </c>
      <c r="F418" s="5">
        <v>3.5</v>
      </c>
      <c r="G418" s="5">
        <v>17.0</v>
      </c>
      <c r="H418" s="6">
        <v>1.0</v>
      </c>
      <c r="I418" s="5">
        <v>49.0</v>
      </c>
      <c r="J418" s="3" t="s">
        <v>19</v>
      </c>
      <c r="K418" s="3" t="s">
        <v>47</v>
      </c>
      <c r="L418" s="6">
        <v>0.0</v>
      </c>
    </row>
    <row r="419">
      <c r="A419" s="3" t="s">
        <v>858</v>
      </c>
      <c r="B419" s="3" t="s">
        <v>859</v>
      </c>
      <c r="C419" s="4">
        <v>45032.0</v>
      </c>
      <c r="D419" s="4">
        <v>45044.0</v>
      </c>
      <c r="E419" s="3" t="s">
        <v>22</v>
      </c>
      <c r="F419" s="5">
        <v>2.0</v>
      </c>
      <c r="G419" s="5">
        <v>38.0</v>
      </c>
      <c r="H419" s="6">
        <v>0.0</v>
      </c>
      <c r="I419" s="5">
        <v>13.0</v>
      </c>
      <c r="J419" s="3" t="s">
        <v>19</v>
      </c>
      <c r="K419" s="3" t="s">
        <v>47</v>
      </c>
      <c r="L419" s="6">
        <v>0.0</v>
      </c>
    </row>
    <row r="420">
      <c r="A420" s="3" t="s">
        <v>860</v>
      </c>
      <c r="B420" s="3" t="s">
        <v>861</v>
      </c>
      <c r="C420" s="4">
        <v>45045.0</v>
      </c>
      <c r="D420" s="4">
        <v>45057.0</v>
      </c>
      <c r="E420" s="3" t="s">
        <v>14</v>
      </c>
      <c r="F420" s="5">
        <v>4.9</v>
      </c>
      <c r="G420" s="5">
        <v>14.0</v>
      </c>
      <c r="H420" s="6">
        <v>1.0</v>
      </c>
      <c r="I420" s="5">
        <v>32.0</v>
      </c>
      <c r="J420" s="3" t="s">
        <v>15</v>
      </c>
      <c r="K420" s="3" t="s">
        <v>16</v>
      </c>
      <c r="L420" s="6">
        <v>1.0</v>
      </c>
    </row>
    <row r="421">
      <c r="A421" s="3" t="s">
        <v>862</v>
      </c>
      <c r="B421" s="3" t="s">
        <v>863</v>
      </c>
      <c r="C421" s="4">
        <v>44953.0</v>
      </c>
      <c r="D421" s="4">
        <v>44965.0</v>
      </c>
      <c r="E421" s="3" t="s">
        <v>38</v>
      </c>
      <c r="F421" s="5">
        <v>0.6</v>
      </c>
      <c r="G421" s="5">
        <v>76.0</v>
      </c>
      <c r="H421" s="6">
        <v>0.0</v>
      </c>
      <c r="I421" s="5">
        <v>22.0</v>
      </c>
      <c r="J421" s="3" t="s">
        <v>19</v>
      </c>
      <c r="K421" s="3" t="s">
        <v>26</v>
      </c>
      <c r="L421" s="6">
        <v>0.0</v>
      </c>
    </row>
    <row r="422">
      <c r="A422" s="3" t="s">
        <v>864</v>
      </c>
      <c r="B422" s="3" t="s">
        <v>865</v>
      </c>
      <c r="C422" s="4">
        <v>45229.0</v>
      </c>
      <c r="D422" s="4">
        <v>45241.0</v>
      </c>
      <c r="E422" s="3" t="s">
        <v>22</v>
      </c>
      <c r="F422" s="5">
        <v>2.8</v>
      </c>
      <c r="G422" s="5">
        <v>42.0</v>
      </c>
      <c r="H422" s="6">
        <v>1.0</v>
      </c>
      <c r="I422" s="5">
        <v>38.0</v>
      </c>
      <c r="J422" s="3" t="s">
        <v>15</v>
      </c>
      <c r="K422" s="3" t="s">
        <v>16</v>
      </c>
      <c r="L422" s="6">
        <v>0.0</v>
      </c>
    </row>
    <row r="423">
      <c r="A423" s="3" t="s">
        <v>866</v>
      </c>
      <c r="B423" s="3" t="s">
        <v>867</v>
      </c>
      <c r="C423" s="4">
        <v>44945.0</v>
      </c>
      <c r="D423" s="4">
        <v>44957.0</v>
      </c>
      <c r="E423" s="3" t="s">
        <v>29</v>
      </c>
      <c r="F423" s="5">
        <v>4.2</v>
      </c>
      <c r="G423" s="5">
        <v>68.0</v>
      </c>
      <c r="H423" s="6">
        <v>1.0</v>
      </c>
      <c r="I423" s="5">
        <v>36.0</v>
      </c>
      <c r="J423" s="3" t="s">
        <v>19</v>
      </c>
      <c r="K423" s="3" t="s">
        <v>16</v>
      </c>
      <c r="L423" s="6">
        <v>1.0</v>
      </c>
    </row>
    <row r="424">
      <c r="A424" s="3" t="s">
        <v>868</v>
      </c>
      <c r="B424" s="3" t="s">
        <v>869</v>
      </c>
      <c r="C424" s="4">
        <v>45143.0</v>
      </c>
      <c r="D424" s="4">
        <v>45155.0</v>
      </c>
      <c r="E424" s="3" t="s">
        <v>38</v>
      </c>
      <c r="F424" s="5">
        <v>0.7</v>
      </c>
      <c r="G424" s="5">
        <v>81.0</v>
      </c>
      <c r="H424" s="6">
        <v>1.0</v>
      </c>
      <c r="I424" s="5">
        <v>53.0</v>
      </c>
      <c r="J424" s="3" t="s">
        <v>23</v>
      </c>
      <c r="K424" s="3" t="s">
        <v>16</v>
      </c>
      <c r="L424" s="6">
        <v>1.0</v>
      </c>
    </row>
    <row r="425">
      <c r="A425" s="3" t="s">
        <v>870</v>
      </c>
      <c r="B425" s="3" t="s">
        <v>871</v>
      </c>
      <c r="C425" s="4">
        <v>45271.0</v>
      </c>
      <c r="D425" s="4">
        <v>45283.0</v>
      </c>
      <c r="E425" s="3" t="s">
        <v>22</v>
      </c>
      <c r="F425" s="5">
        <v>2.6</v>
      </c>
      <c r="G425" s="5">
        <v>87.0</v>
      </c>
      <c r="H425" s="6">
        <v>1.0</v>
      </c>
      <c r="I425" s="5">
        <v>50.0</v>
      </c>
      <c r="J425" s="3" t="s">
        <v>23</v>
      </c>
      <c r="K425" s="3" t="s">
        <v>26</v>
      </c>
      <c r="L425" s="6">
        <v>1.0</v>
      </c>
    </row>
    <row r="426">
      <c r="A426" s="3" t="s">
        <v>872</v>
      </c>
      <c r="B426" s="3" t="s">
        <v>873</v>
      </c>
      <c r="C426" s="4">
        <v>45147.0</v>
      </c>
      <c r="D426" s="4">
        <v>45159.0</v>
      </c>
      <c r="E426" s="3" t="s">
        <v>22</v>
      </c>
      <c r="F426" s="5">
        <v>4.8</v>
      </c>
      <c r="G426" s="5">
        <v>2.0</v>
      </c>
      <c r="H426" s="6">
        <v>1.0</v>
      </c>
      <c r="I426" s="5">
        <v>37.0</v>
      </c>
      <c r="J426" s="3" t="s">
        <v>15</v>
      </c>
      <c r="K426" s="3" t="s">
        <v>26</v>
      </c>
      <c r="L426" s="6">
        <v>1.0</v>
      </c>
    </row>
    <row r="427">
      <c r="A427" s="3" t="s">
        <v>874</v>
      </c>
      <c r="B427" s="3" t="s">
        <v>875</v>
      </c>
      <c r="C427" s="4">
        <v>44968.0</v>
      </c>
      <c r="D427" s="4">
        <v>44980.0</v>
      </c>
      <c r="E427" s="3" t="s">
        <v>38</v>
      </c>
      <c r="F427" s="5">
        <v>1.7</v>
      </c>
      <c r="G427" s="5">
        <v>9.0</v>
      </c>
      <c r="H427" s="6">
        <v>0.0</v>
      </c>
      <c r="I427" s="5">
        <v>34.0</v>
      </c>
      <c r="J427" s="3" t="s">
        <v>19</v>
      </c>
      <c r="K427" s="3" t="s">
        <v>47</v>
      </c>
      <c r="L427" s="6">
        <v>1.0</v>
      </c>
    </row>
    <row r="428">
      <c r="A428" s="3" t="s">
        <v>876</v>
      </c>
      <c r="B428" s="3" t="s">
        <v>877</v>
      </c>
      <c r="C428" s="4">
        <v>45202.0</v>
      </c>
      <c r="D428" s="4">
        <v>45214.0</v>
      </c>
      <c r="E428" s="3" t="s">
        <v>14</v>
      </c>
      <c r="F428" s="5">
        <v>1.5</v>
      </c>
      <c r="G428" s="5">
        <v>19.0</v>
      </c>
      <c r="H428" s="6">
        <v>1.0</v>
      </c>
      <c r="I428" s="5">
        <v>20.0</v>
      </c>
      <c r="J428" s="3" t="s">
        <v>23</v>
      </c>
      <c r="K428" s="3" t="s">
        <v>26</v>
      </c>
      <c r="L428" s="6">
        <v>0.0</v>
      </c>
    </row>
    <row r="429">
      <c r="A429" s="3" t="s">
        <v>878</v>
      </c>
      <c r="B429" s="3" t="s">
        <v>879</v>
      </c>
      <c r="C429" s="4">
        <v>45185.0</v>
      </c>
      <c r="D429" s="4">
        <v>45197.0</v>
      </c>
      <c r="E429" s="3" t="s">
        <v>29</v>
      </c>
      <c r="F429" s="5">
        <v>0.9</v>
      </c>
      <c r="G429" s="5">
        <v>74.0</v>
      </c>
      <c r="H429" s="6">
        <v>1.0</v>
      </c>
      <c r="I429" s="5">
        <v>47.0</v>
      </c>
      <c r="J429" s="3" t="s">
        <v>19</v>
      </c>
      <c r="K429" s="3" t="s">
        <v>16</v>
      </c>
      <c r="L429" s="6">
        <v>1.0</v>
      </c>
    </row>
    <row r="430">
      <c r="A430" s="3" t="s">
        <v>880</v>
      </c>
      <c r="B430" s="3" t="s">
        <v>881</v>
      </c>
      <c r="C430" s="4">
        <v>45225.0</v>
      </c>
      <c r="D430" s="4">
        <v>45237.0</v>
      </c>
      <c r="E430" s="3" t="s">
        <v>22</v>
      </c>
      <c r="F430" s="5">
        <v>2.9</v>
      </c>
      <c r="G430" s="5">
        <v>95.0</v>
      </c>
      <c r="H430" s="6">
        <v>0.0</v>
      </c>
      <c r="I430" s="5">
        <v>48.0</v>
      </c>
      <c r="J430" s="3" t="s">
        <v>23</v>
      </c>
      <c r="K430" s="3" t="s">
        <v>47</v>
      </c>
      <c r="L430" s="6">
        <v>0.0</v>
      </c>
    </row>
    <row r="431">
      <c r="A431" s="3" t="s">
        <v>882</v>
      </c>
      <c r="B431" s="3" t="s">
        <v>883</v>
      </c>
      <c r="C431" s="4">
        <v>44976.0</v>
      </c>
      <c r="D431" s="4">
        <v>44988.0</v>
      </c>
      <c r="E431" s="3" t="s">
        <v>22</v>
      </c>
      <c r="F431" s="5">
        <v>1.9</v>
      </c>
      <c r="G431" s="5">
        <v>88.0</v>
      </c>
      <c r="H431" s="6">
        <v>1.0</v>
      </c>
      <c r="I431" s="5">
        <v>54.0</v>
      </c>
      <c r="J431" s="3" t="s">
        <v>35</v>
      </c>
      <c r="K431" s="3" t="s">
        <v>26</v>
      </c>
      <c r="L431" s="6">
        <v>1.0</v>
      </c>
    </row>
    <row r="432">
      <c r="A432" s="3" t="s">
        <v>884</v>
      </c>
      <c r="B432" s="3" t="s">
        <v>885</v>
      </c>
      <c r="C432" s="4">
        <v>45177.0</v>
      </c>
      <c r="D432" s="4">
        <v>45189.0</v>
      </c>
      <c r="E432" s="3" t="s">
        <v>14</v>
      </c>
      <c r="F432" s="5">
        <v>2.3</v>
      </c>
      <c r="G432" s="5">
        <v>41.0</v>
      </c>
      <c r="H432" s="6">
        <v>0.0</v>
      </c>
      <c r="I432" s="5">
        <v>46.0</v>
      </c>
      <c r="J432" s="3" t="s">
        <v>35</v>
      </c>
      <c r="K432" s="3" t="s">
        <v>26</v>
      </c>
      <c r="L432" s="6">
        <v>1.0</v>
      </c>
    </row>
    <row r="433">
      <c r="A433" s="3" t="s">
        <v>886</v>
      </c>
      <c r="B433" s="3" t="s">
        <v>887</v>
      </c>
      <c r="C433" s="4">
        <v>45084.0</v>
      </c>
      <c r="D433" s="4">
        <v>45096.0</v>
      </c>
      <c r="E433" s="3" t="s">
        <v>22</v>
      </c>
      <c r="F433" s="5">
        <v>1.8</v>
      </c>
      <c r="G433" s="5">
        <v>18.0</v>
      </c>
      <c r="H433" s="6">
        <v>0.0</v>
      </c>
      <c r="I433" s="5">
        <v>12.0</v>
      </c>
      <c r="J433" s="3" t="s">
        <v>19</v>
      </c>
      <c r="K433" s="3" t="s">
        <v>16</v>
      </c>
      <c r="L433" s="6">
        <v>1.0</v>
      </c>
    </row>
    <row r="434">
      <c r="A434" s="3" t="s">
        <v>888</v>
      </c>
      <c r="B434" s="3" t="s">
        <v>889</v>
      </c>
      <c r="C434" s="4">
        <v>45204.0</v>
      </c>
      <c r="D434" s="4">
        <v>45216.0</v>
      </c>
      <c r="E434" s="3" t="s">
        <v>38</v>
      </c>
      <c r="F434" s="5">
        <v>0.1</v>
      </c>
      <c r="G434" s="5">
        <v>37.0</v>
      </c>
      <c r="H434" s="6">
        <v>1.0</v>
      </c>
      <c r="I434" s="5">
        <v>14.0</v>
      </c>
      <c r="J434" s="3" t="s">
        <v>32</v>
      </c>
      <c r="K434" s="3" t="s">
        <v>47</v>
      </c>
      <c r="L434" s="6">
        <v>1.0</v>
      </c>
    </row>
    <row r="435">
      <c r="A435" s="3" t="s">
        <v>890</v>
      </c>
      <c r="B435" s="3" t="s">
        <v>891</v>
      </c>
      <c r="C435" s="4">
        <v>45136.0</v>
      </c>
      <c r="D435" s="4">
        <v>45148.0</v>
      </c>
      <c r="E435" s="3" t="s">
        <v>38</v>
      </c>
      <c r="F435" s="5">
        <v>1.3</v>
      </c>
      <c r="G435" s="5">
        <v>8.0</v>
      </c>
      <c r="H435" s="6">
        <v>1.0</v>
      </c>
      <c r="I435" s="5">
        <v>15.0</v>
      </c>
      <c r="J435" s="3" t="s">
        <v>19</v>
      </c>
      <c r="K435" s="3" t="s">
        <v>26</v>
      </c>
      <c r="L435" s="6">
        <v>1.0</v>
      </c>
    </row>
    <row r="436">
      <c r="A436" s="3" t="s">
        <v>892</v>
      </c>
      <c r="B436" s="3" t="s">
        <v>893</v>
      </c>
      <c r="C436" s="4">
        <v>45272.0</v>
      </c>
      <c r="D436" s="4">
        <v>45284.0</v>
      </c>
      <c r="E436" s="3" t="s">
        <v>29</v>
      </c>
      <c r="F436" s="5">
        <v>3.6</v>
      </c>
      <c r="G436" s="5">
        <v>82.0</v>
      </c>
      <c r="H436" s="6">
        <v>1.0</v>
      </c>
      <c r="I436" s="5">
        <v>33.0</v>
      </c>
      <c r="J436" s="3" t="s">
        <v>23</v>
      </c>
      <c r="K436" s="3" t="s">
        <v>47</v>
      </c>
      <c r="L436" s="6">
        <v>1.0</v>
      </c>
    </row>
    <row r="437">
      <c r="A437" s="3" t="s">
        <v>894</v>
      </c>
      <c r="B437" s="3" t="s">
        <v>895</v>
      </c>
      <c r="C437" s="4">
        <v>45005.0</v>
      </c>
      <c r="D437" s="4">
        <v>45017.0</v>
      </c>
      <c r="E437" s="3" t="s">
        <v>29</v>
      </c>
      <c r="F437" s="5">
        <v>0.2</v>
      </c>
      <c r="G437" s="5">
        <v>39.0</v>
      </c>
      <c r="H437" s="6">
        <v>0.0</v>
      </c>
      <c r="I437" s="5">
        <v>30.0</v>
      </c>
      <c r="J437" s="3" t="s">
        <v>32</v>
      </c>
      <c r="K437" s="3" t="s">
        <v>16</v>
      </c>
      <c r="L437" s="6">
        <v>1.0</v>
      </c>
    </row>
    <row r="438">
      <c r="A438" s="3" t="s">
        <v>896</v>
      </c>
      <c r="B438" s="3" t="s">
        <v>897</v>
      </c>
      <c r="C438" s="4">
        <v>45013.0</v>
      </c>
      <c r="D438" s="4">
        <v>45025.0</v>
      </c>
      <c r="E438" s="3" t="s">
        <v>38</v>
      </c>
      <c r="F438" s="5">
        <v>1.0</v>
      </c>
      <c r="G438" s="5">
        <v>35.0</v>
      </c>
      <c r="H438" s="6">
        <v>0.0</v>
      </c>
      <c r="I438" s="5">
        <v>43.0</v>
      </c>
      <c r="J438" s="3" t="s">
        <v>32</v>
      </c>
      <c r="K438" s="3" t="s">
        <v>47</v>
      </c>
      <c r="L438" s="6">
        <v>1.0</v>
      </c>
    </row>
    <row r="439">
      <c r="A439" s="3" t="s">
        <v>898</v>
      </c>
      <c r="B439" s="3" t="s">
        <v>899</v>
      </c>
      <c r="C439" s="4">
        <v>45134.0</v>
      </c>
      <c r="D439" s="4">
        <v>45146.0</v>
      </c>
      <c r="E439" s="3" t="s">
        <v>14</v>
      </c>
      <c r="F439" s="5">
        <v>0.3</v>
      </c>
      <c r="G439" s="5">
        <v>54.0</v>
      </c>
      <c r="H439" s="6">
        <v>1.0</v>
      </c>
      <c r="I439" s="5">
        <v>16.0</v>
      </c>
      <c r="J439" s="3" t="s">
        <v>19</v>
      </c>
      <c r="K439" s="3" t="s">
        <v>47</v>
      </c>
      <c r="L439" s="6">
        <v>1.0</v>
      </c>
    </row>
    <row r="440">
      <c r="A440" s="3" t="s">
        <v>900</v>
      </c>
      <c r="B440" s="3" t="s">
        <v>901</v>
      </c>
      <c r="C440" s="4">
        <v>45169.0</v>
      </c>
      <c r="D440" s="4">
        <v>45181.0</v>
      </c>
      <c r="E440" s="3" t="s">
        <v>22</v>
      </c>
      <c r="F440" s="5">
        <v>1.6</v>
      </c>
      <c r="G440" s="5">
        <v>46.0</v>
      </c>
      <c r="H440" s="6">
        <v>0.0</v>
      </c>
      <c r="I440" s="5">
        <v>45.0</v>
      </c>
      <c r="J440" s="3" t="s">
        <v>15</v>
      </c>
      <c r="K440" s="3" t="s">
        <v>47</v>
      </c>
      <c r="L440" s="6">
        <v>1.0</v>
      </c>
    </row>
    <row r="441">
      <c r="A441" s="3" t="s">
        <v>902</v>
      </c>
      <c r="B441" s="3" t="s">
        <v>903</v>
      </c>
      <c r="C441" s="4">
        <v>45237.0</v>
      </c>
      <c r="D441" s="4">
        <v>45249.0</v>
      </c>
      <c r="E441" s="3" t="s">
        <v>29</v>
      </c>
      <c r="F441" s="5">
        <v>3.7</v>
      </c>
      <c r="G441" s="5">
        <v>5.0</v>
      </c>
      <c r="H441" s="6">
        <v>1.0</v>
      </c>
      <c r="I441" s="5">
        <v>21.0</v>
      </c>
      <c r="J441" s="3" t="s">
        <v>23</v>
      </c>
      <c r="K441" s="3" t="s">
        <v>47</v>
      </c>
      <c r="L441" s="6">
        <v>1.0</v>
      </c>
    </row>
    <row r="442">
      <c r="A442" s="3" t="s">
        <v>904</v>
      </c>
      <c r="B442" s="3" t="s">
        <v>905</v>
      </c>
      <c r="C442" s="4">
        <v>45207.0</v>
      </c>
      <c r="D442" s="4">
        <v>45219.0</v>
      </c>
      <c r="E442" s="3" t="s">
        <v>38</v>
      </c>
      <c r="F442" s="5">
        <v>1.4</v>
      </c>
      <c r="G442" s="5">
        <v>78.0</v>
      </c>
      <c r="H442" s="6">
        <v>1.0</v>
      </c>
      <c r="I442" s="5">
        <v>41.0</v>
      </c>
      <c r="J442" s="3" t="s">
        <v>35</v>
      </c>
      <c r="K442" s="3" t="s">
        <v>47</v>
      </c>
      <c r="L442" s="6">
        <v>1.0</v>
      </c>
    </row>
    <row r="443">
      <c r="A443" s="3" t="s">
        <v>906</v>
      </c>
      <c r="B443" s="3" t="s">
        <v>907</v>
      </c>
      <c r="C443" s="4">
        <v>45252.0</v>
      </c>
      <c r="D443" s="4">
        <v>45264.0</v>
      </c>
      <c r="E443" s="3" t="s">
        <v>22</v>
      </c>
      <c r="F443" s="5">
        <v>4.6</v>
      </c>
      <c r="G443" s="5">
        <v>62.0</v>
      </c>
      <c r="H443" s="6">
        <v>0.0</v>
      </c>
      <c r="I443" s="5">
        <v>28.0</v>
      </c>
      <c r="J443" s="3" t="s">
        <v>32</v>
      </c>
      <c r="K443" s="3" t="s">
        <v>16</v>
      </c>
      <c r="L443" s="6">
        <v>1.0</v>
      </c>
    </row>
    <row r="444">
      <c r="A444" s="3" t="s">
        <v>908</v>
      </c>
      <c r="B444" s="3" t="s">
        <v>909</v>
      </c>
      <c r="C444" s="4">
        <v>45162.0</v>
      </c>
      <c r="D444" s="4">
        <v>45174.0</v>
      </c>
      <c r="E444" s="3" t="s">
        <v>29</v>
      </c>
      <c r="F444" s="5">
        <v>4.7</v>
      </c>
      <c r="G444" s="5">
        <v>6.0</v>
      </c>
      <c r="H444" s="6">
        <v>1.0</v>
      </c>
      <c r="I444" s="5">
        <v>17.0</v>
      </c>
      <c r="J444" s="3" t="s">
        <v>15</v>
      </c>
      <c r="K444" s="3" t="s">
        <v>16</v>
      </c>
      <c r="L444" s="6">
        <v>1.0</v>
      </c>
    </row>
    <row r="445">
      <c r="A445" s="3" t="s">
        <v>910</v>
      </c>
      <c r="B445" s="3" t="s">
        <v>911</v>
      </c>
      <c r="C445" s="4">
        <v>44933.0</v>
      </c>
      <c r="D445" s="4">
        <v>44945.0</v>
      </c>
      <c r="E445" s="3" t="s">
        <v>29</v>
      </c>
      <c r="F445" s="5">
        <v>3.0</v>
      </c>
      <c r="G445" s="5">
        <v>69.0</v>
      </c>
      <c r="H445" s="6">
        <v>0.0</v>
      </c>
      <c r="I445" s="5">
        <v>24.0</v>
      </c>
      <c r="J445" s="3" t="s">
        <v>19</v>
      </c>
      <c r="K445" s="3" t="s">
        <v>26</v>
      </c>
      <c r="L445" s="6">
        <v>0.0</v>
      </c>
    </row>
    <row r="446">
      <c r="A446" s="3" t="s">
        <v>912</v>
      </c>
      <c r="B446" s="3" t="s">
        <v>913</v>
      </c>
      <c r="C446" s="4">
        <v>44988.0</v>
      </c>
      <c r="D446" s="4">
        <v>45000.0</v>
      </c>
      <c r="E446" s="3" t="s">
        <v>29</v>
      </c>
      <c r="F446" s="5">
        <v>3.1</v>
      </c>
      <c r="G446" s="5">
        <v>92.0</v>
      </c>
      <c r="H446" s="6">
        <v>1.0</v>
      </c>
      <c r="I446" s="5">
        <v>26.0</v>
      </c>
      <c r="J446" s="3" t="s">
        <v>32</v>
      </c>
      <c r="K446" s="3" t="s">
        <v>16</v>
      </c>
      <c r="L446" s="6">
        <v>1.0</v>
      </c>
    </row>
    <row r="447">
      <c r="A447" s="3" t="s">
        <v>914</v>
      </c>
      <c r="B447" s="3" t="s">
        <v>915</v>
      </c>
      <c r="C447" s="4">
        <v>44968.0</v>
      </c>
      <c r="D447" s="4">
        <v>44980.0</v>
      </c>
      <c r="E447" s="3" t="s">
        <v>22</v>
      </c>
      <c r="F447" s="5">
        <v>3.3</v>
      </c>
      <c r="G447" s="5">
        <v>45.0</v>
      </c>
      <c r="H447" s="6">
        <v>1.0</v>
      </c>
      <c r="I447" s="5">
        <v>56.0</v>
      </c>
      <c r="J447" s="3" t="s">
        <v>19</v>
      </c>
      <c r="K447" s="3" t="s">
        <v>26</v>
      </c>
      <c r="L447" s="6">
        <v>1.0</v>
      </c>
    </row>
    <row r="448">
      <c r="A448" s="3" t="s">
        <v>916</v>
      </c>
      <c r="B448" s="3" t="s">
        <v>917</v>
      </c>
      <c r="C448" s="4">
        <v>45115.0</v>
      </c>
      <c r="D448" s="4">
        <v>45127.0</v>
      </c>
      <c r="E448" s="3" t="s">
        <v>14</v>
      </c>
      <c r="F448" s="5">
        <v>4.0</v>
      </c>
      <c r="G448" s="5">
        <v>31.0</v>
      </c>
      <c r="H448" s="6">
        <v>1.0</v>
      </c>
      <c r="I448" s="5">
        <v>19.0</v>
      </c>
      <c r="J448" s="3" t="s">
        <v>32</v>
      </c>
      <c r="K448" s="3" t="s">
        <v>47</v>
      </c>
      <c r="L448" s="6">
        <v>1.0</v>
      </c>
    </row>
    <row r="449">
      <c r="A449" s="3" t="s">
        <v>918</v>
      </c>
      <c r="B449" s="3" t="s">
        <v>919</v>
      </c>
      <c r="C449" s="4">
        <v>45034.0</v>
      </c>
      <c r="D449" s="4">
        <v>45046.0</v>
      </c>
      <c r="E449" s="3" t="s">
        <v>29</v>
      </c>
      <c r="F449" s="5">
        <v>4.5</v>
      </c>
      <c r="G449" s="5">
        <v>13.0</v>
      </c>
      <c r="H449" s="6">
        <v>1.0</v>
      </c>
      <c r="I449" s="5">
        <v>29.0</v>
      </c>
      <c r="J449" s="3" t="s">
        <v>23</v>
      </c>
      <c r="K449" s="3" t="s">
        <v>16</v>
      </c>
      <c r="L449" s="6">
        <v>1.0</v>
      </c>
    </row>
    <row r="450">
      <c r="A450" s="3" t="s">
        <v>920</v>
      </c>
      <c r="B450" s="3" t="s">
        <v>921</v>
      </c>
      <c r="C450" s="4">
        <v>45102.0</v>
      </c>
      <c r="D450" s="4">
        <v>45114.0</v>
      </c>
      <c r="E450" s="3" t="s">
        <v>22</v>
      </c>
      <c r="F450" s="5">
        <v>0.0</v>
      </c>
      <c r="G450" s="5">
        <v>83.0</v>
      </c>
      <c r="H450" s="6">
        <v>1.0</v>
      </c>
      <c r="I450" s="5">
        <v>44.0</v>
      </c>
      <c r="J450" s="3" t="s">
        <v>35</v>
      </c>
      <c r="K450" s="3" t="s">
        <v>47</v>
      </c>
      <c r="L450" s="6">
        <v>1.0</v>
      </c>
    </row>
    <row r="451">
      <c r="A451" s="3" t="s">
        <v>922</v>
      </c>
      <c r="B451" s="3" t="s">
        <v>923</v>
      </c>
      <c r="C451" s="4">
        <v>45067.0</v>
      </c>
      <c r="D451" s="4">
        <v>45079.0</v>
      </c>
      <c r="E451" s="3" t="s">
        <v>38</v>
      </c>
      <c r="F451" s="5">
        <v>2.7</v>
      </c>
      <c r="G451" s="5">
        <v>11.0</v>
      </c>
      <c r="H451" s="6">
        <v>1.0</v>
      </c>
      <c r="I451" s="5">
        <v>51.0</v>
      </c>
      <c r="J451" s="3" t="s">
        <v>19</v>
      </c>
      <c r="K451" s="3" t="s">
        <v>26</v>
      </c>
      <c r="L451" s="6">
        <v>1.0</v>
      </c>
    </row>
    <row r="452">
      <c r="A452" s="3" t="s">
        <v>924</v>
      </c>
      <c r="B452" s="3" t="s">
        <v>925</v>
      </c>
      <c r="C452" s="4">
        <v>45228.0</v>
      </c>
      <c r="D452" s="4">
        <v>45240.0</v>
      </c>
      <c r="E452" s="3" t="s">
        <v>29</v>
      </c>
      <c r="F452" s="5">
        <v>0.5</v>
      </c>
      <c r="G452" s="5">
        <v>65.0</v>
      </c>
      <c r="H452" s="6">
        <v>1.0</v>
      </c>
      <c r="I452" s="5">
        <v>44.0</v>
      </c>
      <c r="J452" s="3" t="s">
        <v>32</v>
      </c>
      <c r="K452" s="3" t="s">
        <v>16</v>
      </c>
      <c r="L452" s="6">
        <v>1.0</v>
      </c>
    </row>
    <row r="453">
      <c r="A453" s="3" t="s">
        <v>926</v>
      </c>
      <c r="B453" s="3" t="s">
        <v>927</v>
      </c>
      <c r="C453" s="4">
        <v>44964.0</v>
      </c>
      <c r="D453" s="4">
        <v>44976.0</v>
      </c>
      <c r="E453" s="3" t="s">
        <v>29</v>
      </c>
      <c r="F453" s="5">
        <v>1.2</v>
      </c>
      <c r="G453" s="5">
        <v>30.0</v>
      </c>
      <c r="H453" s="6">
        <v>1.0</v>
      </c>
      <c r="I453" s="5">
        <v>46.0</v>
      </c>
      <c r="J453" s="3" t="s">
        <v>15</v>
      </c>
      <c r="K453" s="3" t="s">
        <v>16</v>
      </c>
      <c r="L453" s="6">
        <v>0.0</v>
      </c>
    </row>
    <row r="454">
      <c r="A454" s="3" t="s">
        <v>928</v>
      </c>
      <c r="B454" s="3" t="s">
        <v>929</v>
      </c>
      <c r="C454" s="4">
        <v>45265.0</v>
      </c>
      <c r="D454" s="4">
        <v>45277.0</v>
      </c>
      <c r="E454" s="3" t="s">
        <v>29</v>
      </c>
      <c r="F454" s="5">
        <v>2.4</v>
      </c>
      <c r="G454" s="5">
        <v>59.0</v>
      </c>
      <c r="H454" s="6">
        <v>0.0</v>
      </c>
      <c r="I454" s="5">
        <v>17.0</v>
      </c>
      <c r="J454" s="3" t="s">
        <v>32</v>
      </c>
      <c r="K454" s="3" t="s">
        <v>26</v>
      </c>
      <c r="L454" s="6">
        <v>1.0</v>
      </c>
    </row>
    <row r="455">
      <c r="A455" s="3" t="s">
        <v>930</v>
      </c>
      <c r="B455" s="3" t="s">
        <v>931</v>
      </c>
      <c r="C455" s="4">
        <v>45127.0</v>
      </c>
      <c r="D455" s="4">
        <v>45139.0</v>
      </c>
      <c r="E455" s="3" t="s">
        <v>38</v>
      </c>
      <c r="F455" s="5">
        <v>4.3</v>
      </c>
      <c r="G455" s="5">
        <v>100.0</v>
      </c>
      <c r="H455" s="6">
        <v>0.0</v>
      </c>
      <c r="I455" s="5">
        <v>25.0</v>
      </c>
      <c r="J455" s="3" t="s">
        <v>32</v>
      </c>
      <c r="K455" s="3" t="s">
        <v>26</v>
      </c>
      <c r="L455" s="6">
        <v>0.0</v>
      </c>
    </row>
    <row r="456">
      <c r="A456" s="3" t="s">
        <v>932</v>
      </c>
      <c r="B456" s="3" t="s">
        <v>933</v>
      </c>
      <c r="C456" s="4">
        <v>45236.0</v>
      </c>
      <c r="D456" s="4">
        <v>45248.0</v>
      </c>
      <c r="E456" s="3" t="s">
        <v>14</v>
      </c>
      <c r="F456" s="5">
        <v>4.4</v>
      </c>
      <c r="G456" s="5">
        <v>89.0</v>
      </c>
      <c r="H456" s="6">
        <v>0.0</v>
      </c>
      <c r="I456" s="5">
        <v>50.0</v>
      </c>
      <c r="J456" s="3" t="s">
        <v>35</v>
      </c>
      <c r="K456" s="3" t="s">
        <v>16</v>
      </c>
      <c r="L456" s="6">
        <v>1.0</v>
      </c>
    </row>
    <row r="457">
      <c r="A457" s="3" t="s">
        <v>934</v>
      </c>
      <c r="B457" s="3" t="s">
        <v>935</v>
      </c>
      <c r="C457" s="4">
        <v>44967.0</v>
      </c>
      <c r="D457" s="4">
        <v>44979.0</v>
      </c>
      <c r="E457" s="3" t="s">
        <v>14</v>
      </c>
      <c r="F457" s="5">
        <v>3.8</v>
      </c>
      <c r="G457" s="5">
        <v>84.0</v>
      </c>
      <c r="H457" s="6">
        <v>0.0</v>
      </c>
      <c r="I457" s="5">
        <v>36.0</v>
      </c>
      <c r="J457" s="3" t="s">
        <v>15</v>
      </c>
      <c r="K457" s="3" t="s">
        <v>16</v>
      </c>
      <c r="L457" s="6">
        <v>1.0</v>
      </c>
    </row>
    <row r="458">
      <c r="A458" s="3" t="s">
        <v>936</v>
      </c>
      <c r="B458" s="3" t="s">
        <v>937</v>
      </c>
      <c r="C458" s="4">
        <v>45183.0</v>
      </c>
      <c r="D458" s="4">
        <v>45195.0</v>
      </c>
      <c r="E458" s="3" t="s">
        <v>38</v>
      </c>
      <c r="F458" s="5">
        <v>5.0</v>
      </c>
      <c r="G458" s="5">
        <v>53.0</v>
      </c>
      <c r="H458" s="6">
        <v>1.0</v>
      </c>
      <c r="I458" s="5">
        <v>18.0</v>
      </c>
      <c r="J458" s="3" t="s">
        <v>15</v>
      </c>
      <c r="K458" s="3" t="s">
        <v>26</v>
      </c>
      <c r="L458" s="6">
        <v>1.0</v>
      </c>
    </row>
    <row r="459">
      <c r="A459" s="3" t="s">
        <v>938</v>
      </c>
      <c r="B459" s="3" t="s">
        <v>939</v>
      </c>
      <c r="C459" s="4">
        <v>45215.0</v>
      </c>
      <c r="D459" s="4">
        <v>45227.0</v>
      </c>
      <c r="E459" s="3" t="s">
        <v>38</v>
      </c>
      <c r="F459" s="5">
        <v>2.1</v>
      </c>
      <c r="G459" s="5">
        <v>0.0</v>
      </c>
      <c r="H459" s="6">
        <v>0.0</v>
      </c>
      <c r="I459" s="5">
        <v>28.0</v>
      </c>
      <c r="J459" s="3" t="s">
        <v>15</v>
      </c>
      <c r="K459" s="3" t="s">
        <v>26</v>
      </c>
      <c r="L459" s="6">
        <v>1.0</v>
      </c>
    </row>
    <row r="460">
      <c r="A460" s="3" t="s">
        <v>940</v>
      </c>
      <c r="B460" s="3" t="s">
        <v>941</v>
      </c>
      <c r="C460" s="4">
        <v>45171.0</v>
      </c>
      <c r="D460" s="4">
        <v>45183.0</v>
      </c>
      <c r="E460" s="3" t="s">
        <v>38</v>
      </c>
      <c r="F460" s="5">
        <v>0.4</v>
      </c>
      <c r="G460" s="5">
        <v>97.0</v>
      </c>
      <c r="H460" s="6">
        <v>0.0</v>
      </c>
      <c r="I460" s="5">
        <v>53.0</v>
      </c>
      <c r="J460" s="3" t="s">
        <v>23</v>
      </c>
      <c r="K460" s="3" t="s">
        <v>16</v>
      </c>
      <c r="L460" s="6">
        <v>0.0</v>
      </c>
    </row>
    <row r="461">
      <c r="A461" s="3" t="s">
        <v>942</v>
      </c>
      <c r="B461" s="3" t="s">
        <v>943</v>
      </c>
      <c r="C461" s="4">
        <v>44947.0</v>
      </c>
      <c r="D461" s="4">
        <v>44959.0</v>
      </c>
      <c r="E461" s="3" t="s">
        <v>29</v>
      </c>
      <c r="F461" s="5">
        <v>1.9</v>
      </c>
      <c r="G461" s="5">
        <v>71.0</v>
      </c>
      <c r="H461" s="6">
        <v>0.0</v>
      </c>
      <c r="I461" s="5">
        <v>19.0</v>
      </c>
      <c r="J461" s="3" t="s">
        <v>15</v>
      </c>
      <c r="K461" s="3" t="s">
        <v>16</v>
      </c>
      <c r="L461" s="6">
        <v>1.0</v>
      </c>
    </row>
    <row r="462">
      <c r="A462" s="3" t="s">
        <v>944</v>
      </c>
      <c r="B462" s="3" t="s">
        <v>945</v>
      </c>
      <c r="C462" s="4">
        <v>45176.0</v>
      </c>
      <c r="D462" s="4">
        <v>45188.0</v>
      </c>
      <c r="E462" s="3" t="s">
        <v>38</v>
      </c>
      <c r="F462" s="5">
        <v>4.8</v>
      </c>
      <c r="G462" s="5">
        <v>86.0</v>
      </c>
      <c r="H462" s="6">
        <v>1.0</v>
      </c>
      <c r="I462" s="5">
        <v>43.0</v>
      </c>
      <c r="J462" s="3" t="s">
        <v>15</v>
      </c>
      <c r="K462" s="3" t="s">
        <v>16</v>
      </c>
      <c r="L462" s="6">
        <v>1.0</v>
      </c>
    </row>
    <row r="463">
      <c r="A463" s="3" t="s">
        <v>946</v>
      </c>
      <c r="B463" s="3" t="s">
        <v>947</v>
      </c>
      <c r="C463" s="4">
        <v>45198.0</v>
      </c>
      <c r="D463" s="4">
        <v>45210.0</v>
      </c>
      <c r="E463" s="3" t="s">
        <v>14</v>
      </c>
      <c r="F463" s="5">
        <v>0.6</v>
      </c>
      <c r="G463" s="5">
        <v>28.0</v>
      </c>
      <c r="H463" s="6">
        <v>0.0</v>
      </c>
      <c r="I463" s="5">
        <v>21.0</v>
      </c>
      <c r="J463" s="3" t="s">
        <v>19</v>
      </c>
      <c r="K463" s="3" t="s">
        <v>26</v>
      </c>
      <c r="L463" s="6">
        <v>1.0</v>
      </c>
    </row>
    <row r="464">
      <c r="A464" s="3" t="s">
        <v>948</v>
      </c>
      <c r="B464" s="3" t="s">
        <v>949</v>
      </c>
      <c r="C464" s="4">
        <v>45206.0</v>
      </c>
      <c r="D464" s="4">
        <v>45218.0</v>
      </c>
      <c r="E464" s="3" t="s">
        <v>29</v>
      </c>
      <c r="F464" s="5">
        <v>2.4</v>
      </c>
      <c r="G464" s="5">
        <v>33.0</v>
      </c>
      <c r="H464" s="6">
        <v>1.0</v>
      </c>
      <c r="I464" s="5">
        <v>40.0</v>
      </c>
      <c r="J464" s="3" t="s">
        <v>15</v>
      </c>
      <c r="K464" s="3" t="s">
        <v>47</v>
      </c>
      <c r="L464" s="6">
        <v>1.0</v>
      </c>
    </row>
    <row r="465">
      <c r="A465" s="3" t="s">
        <v>950</v>
      </c>
      <c r="B465" s="3" t="s">
        <v>951</v>
      </c>
      <c r="C465" s="4">
        <v>44981.0</v>
      </c>
      <c r="D465" s="4">
        <v>44993.0</v>
      </c>
      <c r="E465" s="3" t="s">
        <v>29</v>
      </c>
      <c r="F465" s="5">
        <v>2.1</v>
      </c>
      <c r="G465" s="5">
        <v>96.0</v>
      </c>
      <c r="H465" s="6">
        <v>0.0</v>
      </c>
      <c r="I465" s="5">
        <v>13.0</v>
      </c>
      <c r="J465" s="3" t="s">
        <v>23</v>
      </c>
      <c r="K465" s="3" t="s">
        <v>16</v>
      </c>
      <c r="L465" s="6">
        <v>0.0</v>
      </c>
    </row>
    <row r="466">
      <c r="A466" s="3" t="s">
        <v>952</v>
      </c>
      <c r="B466" s="3" t="s">
        <v>953</v>
      </c>
      <c r="C466" s="4">
        <v>45291.0</v>
      </c>
      <c r="D466" s="4">
        <v>45303.0</v>
      </c>
      <c r="E466" s="3" t="s">
        <v>22</v>
      </c>
      <c r="F466" s="5">
        <v>3.2</v>
      </c>
      <c r="G466" s="5">
        <v>66.0</v>
      </c>
      <c r="H466" s="6">
        <v>1.0</v>
      </c>
      <c r="I466" s="5">
        <v>33.0</v>
      </c>
      <c r="J466" s="3" t="s">
        <v>19</v>
      </c>
      <c r="K466" s="3" t="s">
        <v>16</v>
      </c>
      <c r="L466" s="6">
        <v>1.0</v>
      </c>
    </row>
    <row r="467">
      <c r="A467" s="3" t="s">
        <v>954</v>
      </c>
      <c r="B467" s="3" t="s">
        <v>955</v>
      </c>
      <c r="C467" s="4">
        <v>45270.0</v>
      </c>
      <c r="D467" s="4">
        <v>45282.0</v>
      </c>
      <c r="E467" s="3" t="s">
        <v>29</v>
      </c>
      <c r="F467" s="5">
        <v>4.6</v>
      </c>
      <c r="G467" s="5">
        <v>56.0</v>
      </c>
      <c r="H467" s="6">
        <v>0.0</v>
      </c>
      <c r="I467" s="5">
        <v>48.0</v>
      </c>
      <c r="J467" s="3" t="s">
        <v>32</v>
      </c>
      <c r="K467" s="3" t="s">
        <v>26</v>
      </c>
      <c r="L467" s="6">
        <v>1.0</v>
      </c>
    </row>
    <row r="468">
      <c r="A468" s="3" t="s">
        <v>956</v>
      </c>
      <c r="B468" s="3" t="s">
        <v>957</v>
      </c>
      <c r="C468" s="4">
        <v>44936.0</v>
      </c>
      <c r="D468" s="4">
        <v>44948.0</v>
      </c>
      <c r="E468" s="3" t="s">
        <v>29</v>
      </c>
      <c r="F468" s="5">
        <v>2.6</v>
      </c>
      <c r="G468" s="5">
        <v>21.0</v>
      </c>
      <c r="H468" s="6">
        <v>0.0</v>
      </c>
      <c r="I468" s="5">
        <v>12.0</v>
      </c>
      <c r="J468" s="3" t="s">
        <v>35</v>
      </c>
      <c r="K468" s="3" t="s">
        <v>47</v>
      </c>
      <c r="L468" s="6">
        <v>1.0</v>
      </c>
    </row>
    <row r="469">
      <c r="A469" s="3" t="s">
        <v>958</v>
      </c>
      <c r="B469" s="3" t="s">
        <v>959</v>
      </c>
      <c r="C469" s="4">
        <v>45036.0</v>
      </c>
      <c r="D469" s="4">
        <v>45048.0</v>
      </c>
      <c r="E469" s="3" t="s">
        <v>38</v>
      </c>
      <c r="F469" s="5">
        <v>1.7</v>
      </c>
      <c r="G469" s="5">
        <v>60.0</v>
      </c>
      <c r="H469" s="6">
        <v>1.0</v>
      </c>
      <c r="I469" s="5">
        <v>31.0</v>
      </c>
      <c r="J469" s="3" t="s">
        <v>23</v>
      </c>
      <c r="K469" s="3" t="s">
        <v>47</v>
      </c>
      <c r="L469" s="6">
        <v>1.0</v>
      </c>
    </row>
    <row r="470">
      <c r="A470" s="3" t="s">
        <v>960</v>
      </c>
      <c r="B470" s="3" t="s">
        <v>961</v>
      </c>
      <c r="C470" s="4">
        <v>45288.0</v>
      </c>
      <c r="D470" s="4">
        <v>45300.0</v>
      </c>
      <c r="E470" s="3" t="s">
        <v>38</v>
      </c>
      <c r="F470" s="5">
        <v>2.0</v>
      </c>
      <c r="G470" s="5">
        <v>91.0</v>
      </c>
      <c r="H470" s="6">
        <v>0.0</v>
      </c>
      <c r="I470" s="5">
        <v>34.0</v>
      </c>
      <c r="J470" s="3" t="s">
        <v>35</v>
      </c>
      <c r="K470" s="3" t="s">
        <v>26</v>
      </c>
      <c r="L470" s="6">
        <v>1.0</v>
      </c>
    </row>
    <row r="471">
      <c r="A471" s="3" t="s">
        <v>962</v>
      </c>
      <c r="B471" s="3" t="s">
        <v>963</v>
      </c>
      <c r="C471" s="4">
        <v>44997.0</v>
      </c>
      <c r="D471" s="4">
        <v>45009.0</v>
      </c>
      <c r="E471" s="3" t="s">
        <v>38</v>
      </c>
      <c r="F471" s="5">
        <v>0.7</v>
      </c>
      <c r="G471" s="5">
        <v>90.0</v>
      </c>
      <c r="H471" s="6">
        <v>0.0</v>
      </c>
      <c r="I471" s="5">
        <v>45.0</v>
      </c>
      <c r="J471" s="3" t="s">
        <v>32</v>
      </c>
      <c r="K471" s="3" t="s">
        <v>47</v>
      </c>
      <c r="L471" s="6">
        <v>0.0</v>
      </c>
    </row>
    <row r="472">
      <c r="A472" s="3" t="s">
        <v>964</v>
      </c>
      <c r="B472" s="3" t="s">
        <v>965</v>
      </c>
      <c r="C472" s="4">
        <v>45090.0</v>
      </c>
      <c r="D472" s="4">
        <v>45102.0</v>
      </c>
      <c r="E472" s="3" t="s">
        <v>38</v>
      </c>
      <c r="F472" s="5">
        <v>3.5</v>
      </c>
      <c r="G472" s="5">
        <v>43.0</v>
      </c>
      <c r="H472" s="6">
        <v>0.0</v>
      </c>
      <c r="I472" s="5">
        <v>39.0</v>
      </c>
      <c r="J472" s="3" t="s">
        <v>35</v>
      </c>
      <c r="K472" s="3" t="s">
        <v>26</v>
      </c>
      <c r="L472" s="6">
        <v>1.0</v>
      </c>
    </row>
    <row r="473">
      <c r="A473" s="3" t="s">
        <v>966</v>
      </c>
      <c r="B473" s="3" t="s">
        <v>967</v>
      </c>
      <c r="C473" s="4">
        <v>45138.0</v>
      </c>
      <c r="D473" s="4">
        <v>45150.0</v>
      </c>
      <c r="E473" s="3" t="s">
        <v>22</v>
      </c>
      <c r="F473" s="5">
        <v>3.9</v>
      </c>
      <c r="G473" s="5">
        <v>67.0</v>
      </c>
      <c r="H473" s="6">
        <v>1.0</v>
      </c>
      <c r="I473" s="5">
        <v>23.0</v>
      </c>
      <c r="J473" s="3" t="s">
        <v>19</v>
      </c>
      <c r="K473" s="3" t="s">
        <v>47</v>
      </c>
      <c r="L473" s="6">
        <v>1.0</v>
      </c>
    </row>
    <row r="474">
      <c r="A474" s="3" t="s">
        <v>968</v>
      </c>
      <c r="B474" s="3" t="s">
        <v>969</v>
      </c>
      <c r="C474" s="4">
        <v>45248.0</v>
      </c>
      <c r="D474" s="4">
        <v>45260.0</v>
      </c>
      <c r="E474" s="3" t="s">
        <v>14</v>
      </c>
      <c r="F474" s="5">
        <v>4.0</v>
      </c>
      <c r="G474" s="5">
        <v>98.0</v>
      </c>
      <c r="H474" s="6">
        <v>1.0</v>
      </c>
      <c r="I474" s="5">
        <v>51.0</v>
      </c>
      <c r="J474" s="3" t="s">
        <v>23</v>
      </c>
      <c r="K474" s="3" t="s">
        <v>26</v>
      </c>
      <c r="L474" s="6">
        <v>1.0</v>
      </c>
    </row>
    <row r="475">
      <c r="A475" s="3" t="s">
        <v>970</v>
      </c>
      <c r="B475" s="3" t="s">
        <v>971</v>
      </c>
      <c r="C475" s="4">
        <v>45216.0</v>
      </c>
      <c r="D475" s="4">
        <v>45228.0</v>
      </c>
      <c r="E475" s="3" t="s">
        <v>22</v>
      </c>
      <c r="F475" s="5">
        <v>3.6</v>
      </c>
      <c r="G475" s="5">
        <v>34.0</v>
      </c>
      <c r="H475" s="6">
        <v>1.0</v>
      </c>
      <c r="I475" s="5">
        <v>14.0</v>
      </c>
      <c r="J475" s="3" t="s">
        <v>35</v>
      </c>
      <c r="K475" s="3" t="s">
        <v>16</v>
      </c>
      <c r="L475" s="6">
        <v>0.0</v>
      </c>
    </row>
    <row r="476">
      <c r="A476" s="3" t="s">
        <v>972</v>
      </c>
      <c r="B476" s="3" t="s">
        <v>973</v>
      </c>
      <c r="C476" s="4">
        <v>45028.0</v>
      </c>
      <c r="D476" s="4">
        <v>45040.0</v>
      </c>
      <c r="E476" s="3" t="s">
        <v>29</v>
      </c>
      <c r="F476" s="5">
        <v>0.4</v>
      </c>
      <c r="G476" s="5">
        <v>44.0</v>
      </c>
      <c r="H476" s="6">
        <v>0.0</v>
      </c>
      <c r="I476" s="5">
        <v>42.0</v>
      </c>
      <c r="J476" s="3" t="s">
        <v>35</v>
      </c>
      <c r="K476" s="3" t="s">
        <v>16</v>
      </c>
      <c r="L476" s="6">
        <v>1.0</v>
      </c>
    </row>
    <row r="477">
      <c r="A477" s="3" t="s">
        <v>974</v>
      </c>
      <c r="B477" s="3" t="s">
        <v>975</v>
      </c>
      <c r="C477" s="4">
        <v>45280.0</v>
      </c>
      <c r="D477" s="4">
        <v>45292.0</v>
      </c>
      <c r="E477" s="3" t="s">
        <v>38</v>
      </c>
      <c r="F477" s="5">
        <v>0.3</v>
      </c>
      <c r="G477" s="5">
        <v>20.0</v>
      </c>
      <c r="H477" s="6">
        <v>1.0</v>
      </c>
      <c r="I477" s="5">
        <v>52.0</v>
      </c>
      <c r="J477" s="3" t="s">
        <v>35</v>
      </c>
      <c r="K477" s="3" t="s">
        <v>16</v>
      </c>
      <c r="L477" s="6">
        <v>0.0</v>
      </c>
    </row>
    <row r="478">
      <c r="A478" s="3" t="s">
        <v>976</v>
      </c>
      <c r="B478" s="3" t="s">
        <v>977</v>
      </c>
      <c r="C478" s="4">
        <v>45058.0</v>
      </c>
      <c r="D478" s="4">
        <v>45070.0</v>
      </c>
      <c r="E478" s="3" t="s">
        <v>38</v>
      </c>
      <c r="F478" s="5">
        <v>0.9</v>
      </c>
      <c r="G478" s="5">
        <v>16.0</v>
      </c>
      <c r="H478" s="6">
        <v>1.0</v>
      </c>
      <c r="I478" s="5">
        <v>47.0</v>
      </c>
      <c r="J478" s="3" t="s">
        <v>32</v>
      </c>
      <c r="K478" s="3" t="s">
        <v>16</v>
      </c>
      <c r="L478" s="6">
        <v>0.0</v>
      </c>
    </row>
    <row r="479">
      <c r="A479" s="3" t="s">
        <v>978</v>
      </c>
      <c r="B479" s="3" t="s">
        <v>979</v>
      </c>
      <c r="C479" s="4">
        <v>45269.0</v>
      </c>
      <c r="D479" s="4">
        <v>45281.0</v>
      </c>
      <c r="E479" s="3" t="s">
        <v>38</v>
      </c>
      <c r="F479" s="5">
        <v>0.1</v>
      </c>
      <c r="G479" s="5">
        <v>85.0</v>
      </c>
      <c r="H479" s="6">
        <v>1.0</v>
      </c>
      <c r="I479" s="5">
        <v>38.0</v>
      </c>
      <c r="J479" s="3" t="s">
        <v>35</v>
      </c>
      <c r="K479" s="3" t="s">
        <v>47</v>
      </c>
      <c r="L479" s="6">
        <v>1.0</v>
      </c>
    </row>
    <row r="480">
      <c r="A480" s="3" t="s">
        <v>980</v>
      </c>
      <c r="B480" s="3" t="s">
        <v>981</v>
      </c>
      <c r="C480" s="4">
        <v>45284.0</v>
      </c>
      <c r="D480" s="4">
        <v>45296.0</v>
      </c>
      <c r="E480" s="3" t="s">
        <v>22</v>
      </c>
      <c r="F480" s="5">
        <v>3.4</v>
      </c>
      <c r="G480" s="5">
        <v>93.0</v>
      </c>
      <c r="H480" s="6">
        <v>1.0</v>
      </c>
      <c r="I480" s="5">
        <v>27.0</v>
      </c>
      <c r="J480" s="3" t="s">
        <v>15</v>
      </c>
      <c r="K480" s="3" t="s">
        <v>47</v>
      </c>
      <c r="L480" s="6">
        <v>1.0</v>
      </c>
    </row>
    <row r="481">
      <c r="A481" s="3" t="s">
        <v>982</v>
      </c>
      <c r="B481" s="3" t="s">
        <v>983</v>
      </c>
      <c r="C481" s="4">
        <v>45049.0</v>
      </c>
      <c r="D481" s="4">
        <v>45061.0</v>
      </c>
      <c r="E481" s="3" t="s">
        <v>22</v>
      </c>
      <c r="F481" s="5">
        <v>3.3</v>
      </c>
      <c r="G481" s="5">
        <v>12.0</v>
      </c>
      <c r="H481" s="6">
        <v>1.0</v>
      </c>
      <c r="I481" s="5">
        <v>49.0</v>
      </c>
      <c r="J481" s="3" t="s">
        <v>19</v>
      </c>
      <c r="K481" s="3" t="s">
        <v>47</v>
      </c>
      <c r="L481" s="6">
        <v>1.0</v>
      </c>
    </row>
    <row r="482">
      <c r="A482" s="3" t="s">
        <v>984</v>
      </c>
      <c r="B482" s="3" t="s">
        <v>985</v>
      </c>
      <c r="C482" s="4">
        <v>45105.0</v>
      </c>
      <c r="D482" s="4">
        <v>45117.0</v>
      </c>
      <c r="E482" s="3" t="s">
        <v>14</v>
      </c>
      <c r="F482" s="5">
        <v>1.4</v>
      </c>
      <c r="G482" s="5">
        <v>49.0</v>
      </c>
      <c r="H482" s="6">
        <v>0.0</v>
      </c>
      <c r="I482" s="5">
        <v>37.0</v>
      </c>
      <c r="J482" s="3" t="s">
        <v>15</v>
      </c>
      <c r="K482" s="3" t="s">
        <v>26</v>
      </c>
      <c r="L482" s="6">
        <v>1.0</v>
      </c>
    </row>
    <row r="483">
      <c r="A483" s="3" t="s">
        <v>986</v>
      </c>
      <c r="B483" s="3" t="s">
        <v>987</v>
      </c>
      <c r="C483" s="4">
        <v>44930.0</v>
      </c>
      <c r="D483" s="4">
        <v>44942.0</v>
      </c>
      <c r="E483" s="3" t="s">
        <v>38</v>
      </c>
      <c r="F483" s="5">
        <v>1.3</v>
      </c>
      <c r="G483" s="5">
        <v>29.0</v>
      </c>
      <c r="H483" s="6">
        <v>1.0</v>
      </c>
      <c r="I483" s="5">
        <v>20.0</v>
      </c>
      <c r="J483" s="3" t="s">
        <v>35</v>
      </c>
      <c r="K483" s="3" t="s">
        <v>26</v>
      </c>
      <c r="L483" s="6">
        <v>0.0</v>
      </c>
    </row>
    <row r="484">
      <c r="A484" s="3" t="s">
        <v>988</v>
      </c>
      <c r="B484" s="3" t="s">
        <v>989</v>
      </c>
      <c r="C484" s="4">
        <v>45260.0</v>
      </c>
      <c r="D484" s="4">
        <v>45272.0</v>
      </c>
      <c r="E484" s="3" t="s">
        <v>22</v>
      </c>
      <c r="F484" s="5">
        <v>4.3</v>
      </c>
      <c r="G484" s="5">
        <v>47.0</v>
      </c>
      <c r="H484" s="6">
        <v>0.0</v>
      </c>
      <c r="I484" s="5">
        <v>54.0</v>
      </c>
      <c r="J484" s="3" t="s">
        <v>23</v>
      </c>
      <c r="K484" s="3" t="s">
        <v>26</v>
      </c>
      <c r="L484" s="6">
        <v>1.0</v>
      </c>
    </row>
    <row r="485">
      <c r="A485" s="3" t="s">
        <v>990</v>
      </c>
      <c r="B485" s="3" t="s">
        <v>991</v>
      </c>
      <c r="C485" s="4">
        <v>45262.0</v>
      </c>
      <c r="D485" s="4">
        <v>45274.0</v>
      </c>
      <c r="E485" s="3" t="s">
        <v>38</v>
      </c>
      <c r="F485" s="5">
        <v>4.7</v>
      </c>
      <c r="G485" s="5">
        <v>55.0</v>
      </c>
      <c r="H485" s="6">
        <v>1.0</v>
      </c>
      <c r="I485" s="5">
        <v>35.0</v>
      </c>
      <c r="J485" s="3" t="s">
        <v>15</v>
      </c>
      <c r="K485" s="3" t="s">
        <v>47</v>
      </c>
      <c r="L485" s="6">
        <v>1.0</v>
      </c>
    </row>
    <row r="486">
      <c r="A486" s="3" t="s">
        <v>992</v>
      </c>
      <c r="B486" s="3" t="s">
        <v>993</v>
      </c>
      <c r="C486" s="4">
        <v>44957.0</v>
      </c>
      <c r="D486" s="4">
        <v>44969.0</v>
      </c>
      <c r="E486" s="3" t="s">
        <v>22</v>
      </c>
      <c r="F486" s="5">
        <v>1.8</v>
      </c>
      <c r="G486" s="5">
        <v>58.0</v>
      </c>
      <c r="H486" s="6">
        <v>1.0</v>
      </c>
      <c r="I486" s="5">
        <v>56.0</v>
      </c>
      <c r="J486" s="3" t="s">
        <v>23</v>
      </c>
      <c r="K486" s="3" t="s">
        <v>16</v>
      </c>
      <c r="L486" s="6">
        <v>1.0</v>
      </c>
    </row>
    <row r="487">
      <c r="A487" s="3" t="s">
        <v>994</v>
      </c>
      <c r="B487" s="3" t="s">
        <v>995</v>
      </c>
      <c r="C487" s="4">
        <v>45064.0</v>
      </c>
      <c r="D487" s="4">
        <v>45076.0</v>
      </c>
      <c r="E487" s="3" t="s">
        <v>14</v>
      </c>
      <c r="F487" s="5">
        <v>3.7</v>
      </c>
      <c r="G487" s="5">
        <v>15.0</v>
      </c>
      <c r="H487" s="6">
        <v>0.0</v>
      </c>
      <c r="I487" s="5">
        <v>26.0</v>
      </c>
      <c r="J487" s="3" t="s">
        <v>35</v>
      </c>
      <c r="K487" s="3" t="s">
        <v>26</v>
      </c>
      <c r="L487" s="6">
        <v>1.0</v>
      </c>
    </row>
    <row r="488">
      <c r="A488" s="3" t="s">
        <v>996</v>
      </c>
      <c r="B488" s="3" t="s">
        <v>997</v>
      </c>
      <c r="C488" s="4">
        <v>45194.0</v>
      </c>
      <c r="D488" s="4">
        <v>45206.0</v>
      </c>
      <c r="E488" s="3" t="s">
        <v>38</v>
      </c>
      <c r="F488" s="5">
        <v>3.8</v>
      </c>
      <c r="G488" s="5">
        <v>48.0</v>
      </c>
      <c r="H488" s="6">
        <v>1.0</v>
      </c>
      <c r="I488" s="5">
        <v>32.0</v>
      </c>
      <c r="J488" s="3" t="s">
        <v>15</v>
      </c>
      <c r="K488" s="3" t="s">
        <v>26</v>
      </c>
      <c r="L488" s="6">
        <v>1.0</v>
      </c>
    </row>
    <row r="489">
      <c r="A489" s="3" t="s">
        <v>998</v>
      </c>
      <c r="B489" s="3" t="s">
        <v>999</v>
      </c>
      <c r="C489" s="4">
        <v>45080.0</v>
      </c>
      <c r="D489" s="4">
        <v>45092.0</v>
      </c>
      <c r="E489" s="3" t="s">
        <v>14</v>
      </c>
      <c r="F489" s="5">
        <v>0.5</v>
      </c>
      <c r="G489" s="5">
        <v>3.0</v>
      </c>
      <c r="H489" s="6">
        <v>1.0</v>
      </c>
      <c r="I489" s="5">
        <v>22.0</v>
      </c>
      <c r="J489" s="3" t="s">
        <v>32</v>
      </c>
      <c r="K489" s="3" t="s">
        <v>47</v>
      </c>
      <c r="L489" s="6">
        <v>1.0</v>
      </c>
    </row>
    <row r="490">
      <c r="A490" s="3" t="s">
        <v>1000</v>
      </c>
      <c r="B490" s="3" t="s">
        <v>1001</v>
      </c>
      <c r="C490" s="4">
        <v>45167.0</v>
      </c>
      <c r="D490" s="4">
        <v>45179.0</v>
      </c>
      <c r="E490" s="3" t="s">
        <v>14</v>
      </c>
      <c r="F490" s="5">
        <v>0.2</v>
      </c>
      <c r="G490" s="5">
        <v>1.0</v>
      </c>
      <c r="H490" s="6">
        <v>1.0</v>
      </c>
      <c r="I490" s="5">
        <v>30.0</v>
      </c>
      <c r="J490" s="3" t="s">
        <v>23</v>
      </c>
      <c r="K490" s="3" t="s">
        <v>26</v>
      </c>
      <c r="L490" s="6">
        <v>1.0</v>
      </c>
    </row>
    <row r="491">
      <c r="A491" s="3" t="s">
        <v>1002</v>
      </c>
      <c r="B491" s="3" t="s">
        <v>1003</v>
      </c>
      <c r="C491" s="4">
        <v>45179.0</v>
      </c>
      <c r="D491" s="4">
        <v>45191.0</v>
      </c>
      <c r="E491" s="3" t="s">
        <v>38</v>
      </c>
      <c r="F491" s="5">
        <v>1.5</v>
      </c>
      <c r="G491" s="5">
        <v>4.0</v>
      </c>
      <c r="H491" s="6">
        <v>1.0</v>
      </c>
      <c r="I491" s="5">
        <v>41.0</v>
      </c>
      <c r="J491" s="3" t="s">
        <v>19</v>
      </c>
      <c r="K491" s="3" t="s">
        <v>47</v>
      </c>
      <c r="L491" s="6">
        <v>0.0</v>
      </c>
    </row>
    <row r="492">
      <c r="A492" s="3" t="s">
        <v>1004</v>
      </c>
      <c r="B492" s="3" t="s">
        <v>1005</v>
      </c>
      <c r="C492" s="4">
        <v>45240.0</v>
      </c>
      <c r="D492" s="4">
        <v>45252.0</v>
      </c>
      <c r="E492" s="3" t="s">
        <v>38</v>
      </c>
      <c r="F492" s="5">
        <v>3.0</v>
      </c>
      <c r="G492" s="5">
        <v>80.0</v>
      </c>
      <c r="H492" s="6">
        <v>1.0</v>
      </c>
      <c r="I492" s="5">
        <v>16.0</v>
      </c>
      <c r="J492" s="3" t="s">
        <v>23</v>
      </c>
      <c r="K492" s="3" t="s">
        <v>47</v>
      </c>
      <c r="L492" s="6">
        <v>1.0</v>
      </c>
    </row>
    <row r="493">
      <c r="A493" s="3" t="s">
        <v>1006</v>
      </c>
      <c r="B493" s="3" t="s">
        <v>1007</v>
      </c>
      <c r="C493" s="4">
        <v>45000.0</v>
      </c>
      <c r="D493" s="4">
        <v>45012.0</v>
      </c>
      <c r="E493" s="3" t="s">
        <v>29</v>
      </c>
      <c r="F493" s="5">
        <v>2.3</v>
      </c>
      <c r="G493" s="5">
        <v>64.0</v>
      </c>
      <c r="H493" s="6">
        <v>1.0</v>
      </c>
      <c r="I493" s="5">
        <v>24.0</v>
      </c>
      <c r="J493" s="3" t="s">
        <v>35</v>
      </c>
      <c r="K493" s="3" t="s">
        <v>26</v>
      </c>
      <c r="L493" s="6">
        <v>0.0</v>
      </c>
    </row>
    <row r="494">
      <c r="A494" s="3" t="s">
        <v>1008</v>
      </c>
      <c r="B494" s="3" t="s">
        <v>1009</v>
      </c>
      <c r="C494" s="4">
        <v>45245.0</v>
      </c>
      <c r="D494" s="4">
        <v>45257.0</v>
      </c>
      <c r="E494" s="3" t="s">
        <v>14</v>
      </c>
      <c r="F494" s="5">
        <v>1.6</v>
      </c>
      <c r="G494" s="5">
        <v>40.0</v>
      </c>
      <c r="H494" s="6">
        <v>1.0</v>
      </c>
      <c r="I494" s="5">
        <v>15.0</v>
      </c>
      <c r="J494" s="3" t="s">
        <v>35</v>
      </c>
      <c r="K494" s="3" t="s">
        <v>26</v>
      </c>
      <c r="L494" s="6">
        <v>0.0</v>
      </c>
    </row>
    <row r="495">
      <c r="A495" s="3" t="s">
        <v>1010</v>
      </c>
      <c r="B495" s="3" t="s">
        <v>1011</v>
      </c>
      <c r="C495" s="4">
        <v>45023.0</v>
      </c>
      <c r="D495" s="4">
        <v>45035.0</v>
      </c>
      <c r="E495" s="3" t="s">
        <v>14</v>
      </c>
      <c r="F495" s="5">
        <v>5.0</v>
      </c>
      <c r="G495" s="5">
        <v>22.0</v>
      </c>
      <c r="H495" s="6">
        <v>1.0</v>
      </c>
      <c r="I495" s="5">
        <v>55.0</v>
      </c>
      <c r="J495" s="3" t="s">
        <v>32</v>
      </c>
      <c r="K495" s="3" t="s">
        <v>26</v>
      </c>
      <c r="L495" s="6">
        <v>1.0</v>
      </c>
    </row>
    <row r="496">
      <c r="A496" s="3" t="s">
        <v>1012</v>
      </c>
      <c r="B496" s="3" t="s">
        <v>1013</v>
      </c>
      <c r="C496" s="4">
        <v>45130.0</v>
      </c>
      <c r="D496" s="4">
        <v>45142.0</v>
      </c>
      <c r="E496" s="3" t="s">
        <v>14</v>
      </c>
      <c r="F496" s="5">
        <v>2.9</v>
      </c>
      <c r="G496" s="5">
        <v>75.0</v>
      </c>
      <c r="H496" s="6">
        <v>1.0</v>
      </c>
      <c r="I496" s="5">
        <v>29.0</v>
      </c>
      <c r="J496" s="3" t="s">
        <v>23</v>
      </c>
      <c r="K496" s="3" t="s">
        <v>26</v>
      </c>
      <c r="L496" s="6">
        <v>1.0</v>
      </c>
    </row>
    <row r="497">
      <c r="A497" s="3" t="s">
        <v>1014</v>
      </c>
      <c r="B497" s="3" t="s">
        <v>1015</v>
      </c>
      <c r="C497" s="4">
        <v>45090.0</v>
      </c>
      <c r="D497" s="4">
        <v>45102.0</v>
      </c>
      <c r="E497" s="3" t="s">
        <v>29</v>
      </c>
      <c r="F497" s="5">
        <v>4.1</v>
      </c>
      <c r="G497" s="5">
        <v>24.0</v>
      </c>
      <c r="H497" s="6">
        <v>1.0</v>
      </c>
      <c r="I497" s="5">
        <v>26.0</v>
      </c>
      <c r="J497" s="3" t="s">
        <v>23</v>
      </c>
      <c r="K497" s="3" t="s">
        <v>16</v>
      </c>
      <c r="L497" s="6">
        <v>1.0</v>
      </c>
    </row>
    <row r="498">
      <c r="A498" s="3" t="s">
        <v>1016</v>
      </c>
      <c r="B498" s="3" t="s">
        <v>1017</v>
      </c>
      <c r="C498" s="4">
        <v>45111.0</v>
      </c>
      <c r="D498" s="4">
        <v>45123.0</v>
      </c>
      <c r="E498" s="3" t="s">
        <v>22</v>
      </c>
      <c r="F498" s="5">
        <v>2.2</v>
      </c>
      <c r="G498" s="5">
        <v>36.0</v>
      </c>
      <c r="H498" s="6">
        <v>1.0</v>
      </c>
      <c r="I498" s="5">
        <v>32.0</v>
      </c>
      <c r="J498" s="3" t="s">
        <v>19</v>
      </c>
      <c r="K498" s="3" t="s">
        <v>26</v>
      </c>
      <c r="L498" s="6">
        <v>1.0</v>
      </c>
    </row>
    <row r="499">
      <c r="A499" s="3" t="s">
        <v>1018</v>
      </c>
      <c r="B499" s="3" t="s">
        <v>1019</v>
      </c>
      <c r="C499" s="4">
        <v>45121.0</v>
      </c>
      <c r="D499" s="4">
        <v>45133.0</v>
      </c>
      <c r="E499" s="3" t="s">
        <v>14</v>
      </c>
      <c r="F499" s="5">
        <v>1.0</v>
      </c>
      <c r="G499" s="5">
        <v>23.0</v>
      </c>
      <c r="H499" s="6">
        <v>0.0</v>
      </c>
      <c r="I499" s="5">
        <v>19.0</v>
      </c>
      <c r="J499" s="3" t="s">
        <v>23</v>
      </c>
      <c r="K499" s="3" t="s">
        <v>47</v>
      </c>
      <c r="L499" s="6">
        <v>1.0</v>
      </c>
    </row>
    <row r="500">
      <c r="A500" s="3" t="s">
        <v>1020</v>
      </c>
      <c r="B500" s="3" t="s">
        <v>1021</v>
      </c>
      <c r="C500" s="4">
        <v>45023.0</v>
      </c>
      <c r="D500" s="4">
        <v>45035.0</v>
      </c>
      <c r="E500" s="3" t="s">
        <v>38</v>
      </c>
      <c r="F500" s="5">
        <v>4.5</v>
      </c>
      <c r="G500" s="5">
        <v>77.0</v>
      </c>
      <c r="H500" s="6">
        <v>1.0</v>
      </c>
      <c r="I500" s="5">
        <v>39.0</v>
      </c>
      <c r="J500" s="3" t="s">
        <v>32</v>
      </c>
      <c r="K500" s="3" t="s">
        <v>16</v>
      </c>
      <c r="L500" s="6">
        <v>1.0</v>
      </c>
    </row>
    <row r="501">
      <c r="A501" s="3" t="s">
        <v>1022</v>
      </c>
      <c r="B501" s="3" t="s">
        <v>1023</v>
      </c>
      <c r="C501" s="4">
        <v>45019.0</v>
      </c>
      <c r="D501" s="4">
        <v>45031.0</v>
      </c>
      <c r="E501" s="3" t="s">
        <v>29</v>
      </c>
      <c r="F501" s="5">
        <v>0.8</v>
      </c>
      <c r="G501" s="5">
        <v>61.0</v>
      </c>
      <c r="H501" s="6">
        <v>0.0</v>
      </c>
      <c r="I501" s="5">
        <v>56.0</v>
      </c>
      <c r="J501" s="3" t="s">
        <v>19</v>
      </c>
      <c r="K501" s="3" t="s">
        <v>16</v>
      </c>
      <c r="L501" s="6">
        <v>0.0</v>
      </c>
    </row>
    <row r="502">
      <c r="A502" s="3" t="s">
        <v>1024</v>
      </c>
      <c r="B502" s="3" t="s">
        <v>1025</v>
      </c>
      <c r="C502" s="4">
        <v>45027.0</v>
      </c>
      <c r="D502" s="4">
        <v>45039.0</v>
      </c>
      <c r="E502" s="3" t="s">
        <v>29</v>
      </c>
      <c r="F502" s="5">
        <v>2.8</v>
      </c>
      <c r="G502" s="5">
        <v>70.0</v>
      </c>
      <c r="H502" s="6">
        <v>0.0</v>
      </c>
      <c r="I502" s="5">
        <v>47.0</v>
      </c>
      <c r="J502" s="3" t="s">
        <v>35</v>
      </c>
      <c r="K502" s="3" t="s">
        <v>26</v>
      </c>
      <c r="L502" s="6">
        <v>1.0</v>
      </c>
    </row>
    <row r="503">
      <c r="A503" s="3" t="s">
        <v>1026</v>
      </c>
      <c r="B503" s="3" t="s">
        <v>1027</v>
      </c>
      <c r="C503" s="4">
        <v>45175.0</v>
      </c>
      <c r="D503" s="4">
        <v>45187.0</v>
      </c>
      <c r="E503" s="3" t="s">
        <v>22</v>
      </c>
      <c r="F503" s="5">
        <v>4.2</v>
      </c>
      <c r="G503" s="5">
        <v>72.0</v>
      </c>
      <c r="H503" s="6">
        <v>0.0</v>
      </c>
      <c r="I503" s="5">
        <v>29.0</v>
      </c>
      <c r="J503" s="3" t="s">
        <v>19</v>
      </c>
      <c r="K503" s="3" t="s">
        <v>16</v>
      </c>
      <c r="L503" s="6">
        <v>1.0</v>
      </c>
    </row>
    <row r="504">
      <c r="A504" s="3" t="s">
        <v>1028</v>
      </c>
      <c r="B504" s="3" t="s">
        <v>1029</v>
      </c>
      <c r="C504" s="4">
        <v>45001.0</v>
      </c>
      <c r="D504" s="4">
        <v>45013.0</v>
      </c>
      <c r="E504" s="3" t="s">
        <v>14</v>
      </c>
      <c r="F504" s="5">
        <v>1.2</v>
      </c>
      <c r="G504" s="5">
        <v>79.0</v>
      </c>
      <c r="H504" s="6">
        <v>0.0</v>
      </c>
      <c r="I504" s="5">
        <v>35.0</v>
      </c>
      <c r="J504" s="3" t="s">
        <v>23</v>
      </c>
      <c r="K504" s="3" t="s">
        <v>26</v>
      </c>
      <c r="L504" s="6">
        <v>1.0</v>
      </c>
    </row>
    <row r="505">
      <c r="A505" s="3" t="s">
        <v>1030</v>
      </c>
      <c r="B505" s="3" t="s">
        <v>1031</v>
      </c>
      <c r="C505" s="4">
        <v>45282.0</v>
      </c>
      <c r="D505" s="4">
        <v>45294.0</v>
      </c>
      <c r="E505" s="3" t="s">
        <v>22</v>
      </c>
      <c r="F505" s="5">
        <v>2.7</v>
      </c>
      <c r="G505" s="5">
        <v>25.0</v>
      </c>
      <c r="H505" s="6">
        <v>1.0</v>
      </c>
      <c r="I505" s="5">
        <v>34.0</v>
      </c>
      <c r="J505" s="3" t="s">
        <v>23</v>
      </c>
      <c r="K505" s="3" t="s">
        <v>26</v>
      </c>
      <c r="L505" s="6">
        <v>1.0</v>
      </c>
    </row>
    <row r="506">
      <c r="A506" s="3" t="s">
        <v>1032</v>
      </c>
      <c r="B506" s="3" t="s">
        <v>1033</v>
      </c>
      <c r="C506" s="4">
        <v>45212.0</v>
      </c>
      <c r="D506" s="4">
        <v>45224.0</v>
      </c>
      <c r="E506" s="3" t="s">
        <v>22</v>
      </c>
      <c r="F506" s="5">
        <v>4.9</v>
      </c>
      <c r="G506" s="5">
        <v>52.0</v>
      </c>
      <c r="H506" s="6">
        <v>0.0</v>
      </c>
      <c r="I506" s="5">
        <v>25.0</v>
      </c>
      <c r="J506" s="3" t="s">
        <v>23</v>
      </c>
      <c r="K506" s="3" t="s">
        <v>16</v>
      </c>
      <c r="L506" s="6">
        <v>1.0</v>
      </c>
    </row>
    <row r="507">
      <c r="A507" s="3" t="s">
        <v>1034</v>
      </c>
      <c r="B507" s="3" t="s">
        <v>1035</v>
      </c>
      <c r="C507" s="4">
        <v>45116.0</v>
      </c>
      <c r="D507" s="4">
        <v>45128.0</v>
      </c>
      <c r="E507" s="3" t="s">
        <v>29</v>
      </c>
      <c r="F507" s="5">
        <v>2.5</v>
      </c>
      <c r="G507" s="5">
        <v>19.0</v>
      </c>
      <c r="H507" s="6">
        <v>0.0</v>
      </c>
      <c r="I507" s="5">
        <v>50.0</v>
      </c>
      <c r="J507" s="3" t="s">
        <v>19</v>
      </c>
      <c r="K507" s="3" t="s">
        <v>16</v>
      </c>
      <c r="L507" s="6">
        <v>0.0</v>
      </c>
    </row>
    <row r="508">
      <c r="A508" s="3" t="s">
        <v>1036</v>
      </c>
      <c r="B508" s="3" t="s">
        <v>1037</v>
      </c>
      <c r="C508" s="4">
        <v>44968.0</v>
      </c>
      <c r="D508" s="4">
        <v>44980.0</v>
      </c>
      <c r="E508" s="3" t="s">
        <v>14</v>
      </c>
      <c r="F508" s="5">
        <v>4.4</v>
      </c>
      <c r="G508" s="5">
        <v>85.0</v>
      </c>
      <c r="H508" s="6">
        <v>0.0</v>
      </c>
      <c r="I508" s="5">
        <v>33.0</v>
      </c>
      <c r="J508" s="3" t="s">
        <v>15</v>
      </c>
      <c r="K508" s="3" t="s">
        <v>47</v>
      </c>
      <c r="L508" s="6">
        <v>1.0</v>
      </c>
    </row>
    <row r="509">
      <c r="A509" s="3" t="s">
        <v>1038</v>
      </c>
      <c r="B509" s="3" t="s">
        <v>1039</v>
      </c>
      <c r="C509" s="4">
        <v>45118.0</v>
      </c>
      <c r="D509" s="4">
        <v>45130.0</v>
      </c>
      <c r="E509" s="3" t="s">
        <v>14</v>
      </c>
      <c r="F509" s="5">
        <v>1.1</v>
      </c>
      <c r="G509" s="5">
        <v>83.0</v>
      </c>
      <c r="H509" s="6">
        <v>0.0</v>
      </c>
      <c r="I509" s="5">
        <v>53.0</v>
      </c>
      <c r="J509" s="3" t="s">
        <v>32</v>
      </c>
      <c r="K509" s="3" t="s">
        <v>47</v>
      </c>
      <c r="L509" s="6">
        <v>1.0</v>
      </c>
    </row>
    <row r="510">
      <c r="A510" s="3" t="s">
        <v>1040</v>
      </c>
      <c r="B510" s="3" t="s">
        <v>1041</v>
      </c>
      <c r="C510" s="4">
        <v>45084.0</v>
      </c>
      <c r="D510" s="4">
        <v>45096.0</v>
      </c>
      <c r="E510" s="3" t="s">
        <v>29</v>
      </c>
      <c r="F510" s="5">
        <v>0.0</v>
      </c>
      <c r="G510" s="5">
        <v>39.0</v>
      </c>
      <c r="H510" s="6">
        <v>1.0</v>
      </c>
      <c r="I510" s="5">
        <v>30.0</v>
      </c>
      <c r="J510" s="3" t="s">
        <v>15</v>
      </c>
      <c r="K510" s="3" t="s">
        <v>16</v>
      </c>
      <c r="L510" s="6">
        <v>1.0</v>
      </c>
    </row>
    <row r="511">
      <c r="A511" s="3" t="s">
        <v>1042</v>
      </c>
      <c r="B511" s="3" t="s">
        <v>1043</v>
      </c>
      <c r="C511" s="4">
        <v>45280.0</v>
      </c>
      <c r="D511" s="4">
        <v>45292.0</v>
      </c>
      <c r="E511" s="3" t="s">
        <v>14</v>
      </c>
      <c r="F511" s="5">
        <v>3.1</v>
      </c>
      <c r="G511" s="5">
        <v>72.0</v>
      </c>
      <c r="H511" s="6">
        <v>1.0</v>
      </c>
      <c r="I511" s="5">
        <v>14.0</v>
      </c>
      <c r="J511" s="3" t="s">
        <v>32</v>
      </c>
      <c r="K511" s="3" t="s">
        <v>47</v>
      </c>
      <c r="L511" s="6">
        <v>1.0</v>
      </c>
    </row>
    <row r="512">
      <c r="A512" s="3" t="s">
        <v>1044</v>
      </c>
      <c r="B512" s="3" t="s">
        <v>1045</v>
      </c>
      <c r="C512" s="4">
        <v>45180.0</v>
      </c>
      <c r="D512" s="4">
        <v>45192.0</v>
      </c>
      <c r="E512" s="3" t="s">
        <v>29</v>
      </c>
      <c r="F512" s="5">
        <v>3.6</v>
      </c>
      <c r="G512" s="5">
        <v>67.0</v>
      </c>
      <c r="H512" s="6">
        <v>0.0</v>
      </c>
      <c r="I512" s="5">
        <v>43.0</v>
      </c>
      <c r="J512" s="3" t="s">
        <v>35</v>
      </c>
      <c r="K512" s="3" t="s">
        <v>47</v>
      </c>
      <c r="L512" s="6">
        <v>1.0</v>
      </c>
    </row>
    <row r="513">
      <c r="A513" s="3" t="s">
        <v>1046</v>
      </c>
      <c r="B513" s="3" t="s">
        <v>1047</v>
      </c>
      <c r="C513" s="4">
        <v>44962.0</v>
      </c>
      <c r="D513" s="4">
        <v>44974.0</v>
      </c>
      <c r="E513" s="3" t="s">
        <v>29</v>
      </c>
      <c r="F513" s="5">
        <v>0.7</v>
      </c>
      <c r="G513" s="5">
        <v>10.0</v>
      </c>
      <c r="H513" s="6">
        <v>0.0</v>
      </c>
      <c r="I513" s="5">
        <v>48.0</v>
      </c>
      <c r="J513" s="3" t="s">
        <v>23</v>
      </c>
      <c r="K513" s="3" t="s">
        <v>16</v>
      </c>
      <c r="L513" s="6">
        <v>1.0</v>
      </c>
    </row>
    <row r="514">
      <c r="A514" s="3" t="s">
        <v>1048</v>
      </c>
      <c r="B514" s="3" t="s">
        <v>1049</v>
      </c>
      <c r="C514" s="4">
        <v>45161.0</v>
      </c>
      <c r="D514" s="4">
        <v>45173.0</v>
      </c>
      <c r="E514" s="3" t="s">
        <v>38</v>
      </c>
      <c r="F514" s="5">
        <v>4.0</v>
      </c>
      <c r="G514" s="5">
        <v>2.0</v>
      </c>
      <c r="H514" s="6">
        <v>1.0</v>
      </c>
      <c r="I514" s="5">
        <v>27.0</v>
      </c>
      <c r="J514" s="3" t="s">
        <v>32</v>
      </c>
      <c r="K514" s="3" t="s">
        <v>16</v>
      </c>
      <c r="L514" s="6">
        <v>1.0</v>
      </c>
    </row>
    <row r="515">
      <c r="A515" s="3" t="s">
        <v>1050</v>
      </c>
      <c r="B515" s="3" t="s">
        <v>1051</v>
      </c>
      <c r="C515" s="4">
        <v>45135.0</v>
      </c>
      <c r="D515" s="4">
        <v>45147.0</v>
      </c>
      <c r="E515" s="3" t="s">
        <v>14</v>
      </c>
      <c r="F515" s="5">
        <v>2.5</v>
      </c>
      <c r="G515" s="5">
        <v>76.0</v>
      </c>
      <c r="H515" s="6">
        <v>1.0</v>
      </c>
      <c r="I515" s="5">
        <v>54.0</v>
      </c>
      <c r="J515" s="3" t="s">
        <v>15</v>
      </c>
      <c r="K515" s="3" t="s">
        <v>16</v>
      </c>
      <c r="L515" s="6">
        <v>0.0</v>
      </c>
    </row>
    <row r="516">
      <c r="A516" s="3" t="s">
        <v>1052</v>
      </c>
      <c r="B516" s="3" t="s">
        <v>1053</v>
      </c>
      <c r="C516" s="4">
        <v>45011.0</v>
      </c>
      <c r="D516" s="4">
        <v>45023.0</v>
      </c>
      <c r="E516" s="3" t="s">
        <v>14</v>
      </c>
      <c r="F516" s="5">
        <v>0.3</v>
      </c>
      <c r="G516" s="5">
        <v>23.0</v>
      </c>
      <c r="H516" s="6">
        <v>0.0</v>
      </c>
      <c r="I516" s="5">
        <v>37.0</v>
      </c>
      <c r="J516" s="3" t="s">
        <v>15</v>
      </c>
      <c r="K516" s="3" t="s">
        <v>26</v>
      </c>
      <c r="L516" s="6">
        <v>0.0</v>
      </c>
    </row>
    <row r="517">
      <c r="A517" s="3" t="s">
        <v>1054</v>
      </c>
      <c r="B517" s="3" t="s">
        <v>1055</v>
      </c>
      <c r="C517" s="4">
        <v>44960.0</v>
      </c>
      <c r="D517" s="4">
        <v>44972.0</v>
      </c>
      <c r="E517" s="3" t="s">
        <v>22</v>
      </c>
      <c r="F517" s="5">
        <v>1.2</v>
      </c>
      <c r="G517" s="5">
        <v>71.0</v>
      </c>
      <c r="H517" s="6">
        <v>1.0</v>
      </c>
      <c r="I517" s="5">
        <v>44.0</v>
      </c>
      <c r="J517" s="3" t="s">
        <v>32</v>
      </c>
      <c r="K517" s="3" t="s">
        <v>26</v>
      </c>
      <c r="L517" s="6">
        <v>0.0</v>
      </c>
    </row>
    <row r="518">
      <c r="A518" s="3" t="s">
        <v>1056</v>
      </c>
      <c r="B518" s="3" t="s">
        <v>1057</v>
      </c>
      <c r="C518" s="4">
        <v>45058.0</v>
      </c>
      <c r="D518" s="4">
        <v>45070.0</v>
      </c>
      <c r="E518" s="3" t="s">
        <v>22</v>
      </c>
      <c r="F518" s="5">
        <v>4.6</v>
      </c>
      <c r="G518" s="5">
        <v>91.0</v>
      </c>
      <c r="H518" s="6">
        <v>1.0</v>
      </c>
      <c r="I518" s="5">
        <v>24.0</v>
      </c>
      <c r="J518" s="3" t="s">
        <v>23</v>
      </c>
      <c r="K518" s="3" t="s">
        <v>47</v>
      </c>
      <c r="L518" s="6">
        <v>0.0</v>
      </c>
    </row>
    <row r="519">
      <c r="A519" s="3" t="s">
        <v>1058</v>
      </c>
      <c r="B519" s="3" t="s">
        <v>1059</v>
      </c>
      <c r="C519" s="4">
        <v>45278.0</v>
      </c>
      <c r="D519" s="4">
        <v>45290.0</v>
      </c>
      <c r="E519" s="3" t="s">
        <v>29</v>
      </c>
      <c r="F519" s="5">
        <v>4.5</v>
      </c>
      <c r="G519" s="5">
        <v>79.0</v>
      </c>
      <c r="H519" s="6">
        <v>1.0</v>
      </c>
      <c r="I519" s="5">
        <v>13.0</v>
      </c>
      <c r="J519" s="3" t="s">
        <v>32</v>
      </c>
      <c r="K519" s="3" t="s">
        <v>26</v>
      </c>
      <c r="L519" s="6">
        <v>1.0</v>
      </c>
    </row>
    <row r="520">
      <c r="A520" s="3" t="s">
        <v>1060</v>
      </c>
      <c r="B520" s="3" t="s">
        <v>1061</v>
      </c>
      <c r="C520" s="4">
        <v>45164.0</v>
      </c>
      <c r="D520" s="4">
        <v>45176.0</v>
      </c>
      <c r="E520" s="3" t="s">
        <v>22</v>
      </c>
      <c r="F520" s="5">
        <v>3.2</v>
      </c>
      <c r="G520" s="5">
        <v>17.0</v>
      </c>
      <c r="H520" s="6">
        <v>0.0</v>
      </c>
      <c r="I520" s="5">
        <v>49.0</v>
      </c>
      <c r="J520" s="3" t="s">
        <v>19</v>
      </c>
      <c r="K520" s="3" t="s">
        <v>47</v>
      </c>
      <c r="L520" s="6">
        <v>0.0</v>
      </c>
    </row>
    <row r="521">
      <c r="A521" s="3" t="s">
        <v>1062</v>
      </c>
      <c r="B521" s="3" t="s">
        <v>1063</v>
      </c>
      <c r="C521" s="4">
        <v>45027.0</v>
      </c>
      <c r="D521" s="4">
        <v>45039.0</v>
      </c>
      <c r="E521" s="3" t="s">
        <v>29</v>
      </c>
      <c r="F521" s="5">
        <v>1.4</v>
      </c>
      <c r="G521" s="5">
        <v>100.0</v>
      </c>
      <c r="H521" s="6">
        <v>1.0</v>
      </c>
      <c r="I521" s="5">
        <v>40.0</v>
      </c>
      <c r="J521" s="3" t="s">
        <v>32</v>
      </c>
      <c r="K521" s="3" t="s">
        <v>26</v>
      </c>
      <c r="L521" s="6">
        <v>1.0</v>
      </c>
    </row>
    <row r="522">
      <c r="A522" s="3" t="s">
        <v>1064</v>
      </c>
      <c r="B522" s="3" t="s">
        <v>1065</v>
      </c>
      <c r="C522" s="4">
        <v>45271.0</v>
      </c>
      <c r="D522" s="4">
        <v>45283.0</v>
      </c>
      <c r="E522" s="3" t="s">
        <v>29</v>
      </c>
      <c r="F522" s="5">
        <v>1.6</v>
      </c>
      <c r="G522" s="5">
        <v>54.0</v>
      </c>
      <c r="H522" s="6">
        <v>1.0</v>
      </c>
      <c r="I522" s="5">
        <v>46.0</v>
      </c>
      <c r="J522" s="3" t="s">
        <v>32</v>
      </c>
      <c r="K522" s="3" t="s">
        <v>26</v>
      </c>
      <c r="L522" s="6">
        <v>1.0</v>
      </c>
    </row>
    <row r="523">
      <c r="A523" s="3" t="s">
        <v>1066</v>
      </c>
      <c r="B523" s="3" t="s">
        <v>1067</v>
      </c>
      <c r="C523" s="4">
        <v>45117.0</v>
      </c>
      <c r="D523" s="4">
        <v>45129.0</v>
      </c>
      <c r="E523" s="3" t="s">
        <v>29</v>
      </c>
      <c r="F523" s="5">
        <v>1.3</v>
      </c>
      <c r="G523" s="5">
        <v>98.0</v>
      </c>
      <c r="H523" s="6">
        <v>1.0</v>
      </c>
      <c r="I523" s="5">
        <v>41.0</v>
      </c>
      <c r="J523" s="3" t="s">
        <v>23</v>
      </c>
      <c r="K523" s="3" t="s">
        <v>16</v>
      </c>
      <c r="L523" s="6">
        <v>1.0</v>
      </c>
    </row>
    <row r="524">
      <c r="A524" s="3" t="s">
        <v>1068</v>
      </c>
      <c r="B524" s="3" t="s">
        <v>1069</v>
      </c>
      <c r="C524" s="4">
        <v>44952.0</v>
      </c>
      <c r="D524" s="4">
        <v>44964.0</v>
      </c>
      <c r="E524" s="3" t="s">
        <v>29</v>
      </c>
      <c r="F524" s="5">
        <v>4.2</v>
      </c>
      <c r="G524" s="5">
        <v>16.0</v>
      </c>
      <c r="H524" s="6">
        <v>1.0</v>
      </c>
      <c r="I524" s="5">
        <v>17.0</v>
      </c>
      <c r="J524" s="3" t="s">
        <v>15</v>
      </c>
      <c r="K524" s="3" t="s">
        <v>16</v>
      </c>
      <c r="L524" s="6">
        <v>0.0</v>
      </c>
    </row>
    <row r="525">
      <c r="A525" s="3" t="s">
        <v>1070</v>
      </c>
      <c r="B525" s="3" t="s">
        <v>1071</v>
      </c>
      <c r="C525" s="4">
        <v>45272.0</v>
      </c>
      <c r="D525" s="4">
        <v>45284.0</v>
      </c>
      <c r="E525" s="3" t="s">
        <v>29</v>
      </c>
      <c r="F525" s="5">
        <v>0.9</v>
      </c>
      <c r="G525" s="5">
        <v>44.0</v>
      </c>
      <c r="H525" s="6">
        <v>0.0</v>
      </c>
      <c r="I525" s="5">
        <v>55.0</v>
      </c>
      <c r="J525" s="3" t="s">
        <v>32</v>
      </c>
      <c r="K525" s="3" t="s">
        <v>16</v>
      </c>
      <c r="L525" s="6">
        <v>0.0</v>
      </c>
    </row>
    <row r="526">
      <c r="A526" s="3" t="s">
        <v>1072</v>
      </c>
      <c r="B526" s="3" t="s">
        <v>1073</v>
      </c>
      <c r="C526" s="4">
        <v>45220.0</v>
      </c>
      <c r="D526" s="4">
        <v>45232.0</v>
      </c>
      <c r="E526" s="3" t="s">
        <v>38</v>
      </c>
      <c r="F526" s="5">
        <v>0.5</v>
      </c>
      <c r="G526" s="5">
        <v>40.0</v>
      </c>
      <c r="H526" s="6">
        <v>0.0</v>
      </c>
      <c r="I526" s="5">
        <v>18.0</v>
      </c>
      <c r="J526" s="3" t="s">
        <v>23</v>
      </c>
      <c r="K526" s="3" t="s">
        <v>16</v>
      </c>
      <c r="L526" s="6">
        <v>1.0</v>
      </c>
    </row>
    <row r="527">
      <c r="A527" s="3" t="s">
        <v>1074</v>
      </c>
      <c r="B527" s="3" t="s">
        <v>1075</v>
      </c>
      <c r="C527" s="4">
        <v>45129.0</v>
      </c>
      <c r="D527" s="4">
        <v>45141.0</v>
      </c>
      <c r="E527" s="3" t="s">
        <v>14</v>
      </c>
      <c r="F527" s="5">
        <v>2.0</v>
      </c>
      <c r="G527" s="5">
        <v>86.0</v>
      </c>
      <c r="H527" s="6">
        <v>1.0</v>
      </c>
      <c r="I527" s="5">
        <v>21.0</v>
      </c>
      <c r="J527" s="3" t="s">
        <v>23</v>
      </c>
      <c r="K527" s="3" t="s">
        <v>26</v>
      </c>
      <c r="L527" s="6">
        <v>0.0</v>
      </c>
    </row>
    <row r="528">
      <c r="A528" s="3" t="s">
        <v>1076</v>
      </c>
      <c r="B528" s="3" t="s">
        <v>1077</v>
      </c>
      <c r="C528" s="4">
        <v>45151.0</v>
      </c>
      <c r="D528" s="4">
        <v>45163.0</v>
      </c>
      <c r="E528" s="3" t="s">
        <v>22</v>
      </c>
      <c r="F528" s="5">
        <v>1.7</v>
      </c>
      <c r="G528" s="5">
        <v>62.0</v>
      </c>
      <c r="H528" s="6">
        <v>1.0</v>
      </c>
      <c r="I528" s="5">
        <v>31.0</v>
      </c>
      <c r="J528" s="3" t="s">
        <v>19</v>
      </c>
      <c r="K528" s="3" t="s">
        <v>16</v>
      </c>
      <c r="L528" s="6">
        <v>0.0</v>
      </c>
    </row>
    <row r="529">
      <c r="A529" s="3" t="s">
        <v>1078</v>
      </c>
      <c r="B529" s="3" t="s">
        <v>1079</v>
      </c>
      <c r="C529" s="4">
        <v>45122.0</v>
      </c>
      <c r="D529" s="4">
        <v>45134.0</v>
      </c>
      <c r="E529" s="3" t="s">
        <v>38</v>
      </c>
      <c r="F529" s="5">
        <v>3.1</v>
      </c>
      <c r="G529" s="5">
        <v>58.0</v>
      </c>
      <c r="H529" s="6">
        <v>0.0</v>
      </c>
      <c r="I529" s="5">
        <v>15.0</v>
      </c>
      <c r="J529" s="3" t="s">
        <v>23</v>
      </c>
      <c r="K529" s="3" t="s">
        <v>47</v>
      </c>
      <c r="L529" s="6">
        <v>0.0</v>
      </c>
    </row>
    <row r="530">
      <c r="A530" s="3" t="s">
        <v>1080</v>
      </c>
      <c r="B530" s="3" t="s">
        <v>1081</v>
      </c>
      <c r="C530" s="4">
        <v>45054.0</v>
      </c>
      <c r="D530" s="4">
        <v>45066.0</v>
      </c>
      <c r="E530" s="3" t="s">
        <v>14</v>
      </c>
      <c r="F530" s="5">
        <v>0.2</v>
      </c>
      <c r="G530" s="5">
        <v>92.0</v>
      </c>
      <c r="H530" s="6">
        <v>1.0</v>
      </c>
      <c r="I530" s="5">
        <v>36.0</v>
      </c>
      <c r="J530" s="3" t="s">
        <v>15</v>
      </c>
      <c r="K530" s="3" t="s">
        <v>26</v>
      </c>
      <c r="L530" s="6">
        <v>0.0</v>
      </c>
    </row>
    <row r="531">
      <c r="A531" s="3" t="s">
        <v>1082</v>
      </c>
      <c r="B531" s="3" t="s">
        <v>1083</v>
      </c>
      <c r="C531" s="4">
        <v>45118.0</v>
      </c>
      <c r="D531" s="4">
        <v>45130.0</v>
      </c>
      <c r="E531" s="3" t="s">
        <v>29</v>
      </c>
      <c r="F531" s="5">
        <v>1.9</v>
      </c>
      <c r="G531" s="5">
        <v>29.0</v>
      </c>
      <c r="H531" s="6">
        <v>1.0</v>
      </c>
      <c r="I531" s="5">
        <v>28.0</v>
      </c>
      <c r="J531" s="3" t="s">
        <v>19</v>
      </c>
      <c r="K531" s="3" t="s">
        <v>47</v>
      </c>
      <c r="L531" s="6">
        <v>1.0</v>
      </c>
    </row>
    <row r="532">
      <c r="A532" s="3" t="s">
        <v>1084</v>
      </c>
      <c r="B532" s="3" t="s">
        <v>1085</v>
      </c>
      <c r="C532" s="4">
        <v>45140.0</v>
      </c>
      <c r="D532" s="4">
        <v>45152.0</v>
      </c>
      <c r="E532" s="3" t="s">
        <v>14</v>
      </c>
      <c r="F532" s="5">
        <v>2.4</v>
      </c>
      <c r="G532" s="5">
        <v>96.0</v>
      </c>
      <c r="H532" s="6">
        <v>1.0</v>
      </c>
      <c r="I532" s="5">
        <v>20.0</v>
      </c>
      <c r="J532" s="3" t="s">
        <v>32</v>
      </c>
      <c r="K532" s="3" t="s">
        <v>47</v>
      </c>
      <c r="L532" s="6">
        <v>1.0</v>
      </c>
    </row>
    <row r="533">
      <c r="A533" s="3" t="s">
        <v>1086</v>
      </c>
      <c r="B533" s="3" t="s">
        <v>1087</v>
      </c>
      <c r="C533" s="4">
        <v>45004.0</v>
      </c>
      <c r="D533" s="4">
        <v>45016.0</v>
      </c>
      <c r="E533" s="3" t="s">
        <v>38</v>
      </c>
      <c r="F533" s="5">
        <v>2.8</v>
      </c>
      <c r="G533" s="5">
        <v>20.0</v>
      </c>
      <c r="H533" s="6">
        <v>0.0</v>
      </c>
      <c r="I533" s="5">
        <v>38.0</v>
      </c>
      <c r="J533" s="3" t="s">
        <v>23</v>
      </c>
      <c r="K533" s="3" t="s">
        <v>26</v>
      </c>
      <c r="L533" s="6">
        <v>0.0</v>
      </c>
    </row>
    <row r="534">
      <c r="A534" s="3" t="s">
        <v>1088</v>
      </c>
      <c r="B534" s="3" t="s">
        <v>1089</v>
      </c>
      <c r="C534" s="4">
        <v>45023.0</v>
      </c>
      <c r="D534" s="4">
        <v>45035.0</v>
      </c>
      <c r="E534" s="3" t="s">
        <v>38</v>
      </c>
      <c r="F534" s="5">
        <v>3.7</v>
      </c>
      <c r="G534" s="5">
        <v>13.0</v>
      </c>
      <c r="H534" s="6">
        <v>1.0</v>
      </c>
      <c r="I534" s="5">
        <v>16.0</v>
      </c>
      <c r="J534" s="3" t="s">
        <v>32</v>
      </c>
      <c r="K534" s="3" t="s">
        <v>47</v>
      </c>
      <c r="L534" s="6">
        <v>1.0</v>
      </c>
    </row>
    <row r="535">
      <c r="A535" s="3" t="s">
        <v>1090</v>
      </c>
      <c r="B535" s="3" t="s">
        <v>1091</v>
      </c>
      <c r="C535" s="4">
        <v>45033.0</v>
      </c>
      <c r="D535" s="4">
        <v>45045.0</v>
      </c>
      <c r="E535" s="3" t="s">
        <v>38</v>
      </c>
      <c r="F535" s="5">
        <v>2.6</v>
      </c>
      <c r="G535" s="5">
        <v>45.0</v>
      </c>
      <c r="H535" s="6">
        <v>0.0</v>
      </c>
      <c r="I535" s="5">
        <v>52.0</v>
      </c>
      <c r="J535" s="3" t="s">
        <v>23</v>
      </c>
      <c r="K535" s="3" t="s">
        <v>16</v>
      </c>
      <c r="L535" s="6">
        <v>0.0</v>
      </c>
    </row>
    <row r="536">
      <c r="A536" s="3" t="s">
        <v>1092</v>
      </c>
      <c r="B536" s="3" t="s">
        <v>1093</v>
      </c>
      <c r="C536" s="4">
        <v>44932.0</v>
      </c>
      <c r="D536" s="4">
        <v>44944.0</v>
      </c>
      <c r="E536" s="3" t="s">
        <v>22</v>
      </c>
      <c r="F536" s="5">
        <v>4.4</v>
      </c>
      <c r="G536" s="5">
        <v>3.0</v>
      </c>
      <c r="H536" s="6">
        <v>1.0</v>
      </c>
      <c r="I536" s="5">
        <v>51.0</v>
      </c>
      <c r="J536" s="3" t="s">
        <v>35</v>
      </c>
      <c r="K536" s="3" t="s">
        <v>26</v>
      </c>
      <c r="L536" s="6">
        <v>1.0</v>
      </c>
    </row>
    <row r="537">
      <c r="A537" s="3" t="s">
        <v>1094</v>
      </c>
      <c r="B537" s="3" t="s">
        <v>1095</v>
      </c>
      <c r="C537" s="4">
        <v>45204.0</v>
      </c>
      <c r="D537" s="4">
        <v>45216.0</v>
      </c>
      <c r="E537" s="3" t="s">
        <v>29</v>
      </c>
      <c r="F537" s="5">
        <v>0.4</v>
      </c>
      <c r="G537" s="5">
        <v>66.0</v>
      </c>
      <c r="H537" s="6">
        <v>1.0</v>
      </c>
      <c r="I537" s="5">
        <v>12.0</v>
      </c>
      <c r="J537" s="3" t="s">
        <v>23</v>
      </c>
      <c r="K537" s="3" t="s">
        <v>16</v>
      </c>
      <c r="L537" s="6">
        <v>1.0</v>
      </c>
    </row>
    <row r="538">
      <c r="A538" s="3" t="s">
        <v>1096</v>
      </c>
      <c r="B538" s="3" t="s">
        <v>1097</v>
      </c>
      <c r="C538" s="4">
        <v>45095.0</v>
      </c>
      <c r="D538" s="4">
        <v>45107.0</v>
      </c>
      <c r="E538" s="3" t="s">
        <v>14</v>
      </c>
      <c r="F538" s="5">
        <v>4.7</v>
      </c>
      <c r="G538" s="5">
        <v>78.0</v>
      </c>
      <c r="H538" s="6">
        <v>1.0</v>
      </c>
      <c r="I538" s="5">
        <v>45.0</v>
      </c>
      <c r="J538" s="3" t="s">
        <v>35</v>
      </c>
      <c r="K538" s="3" t="s">
        <v>47</v>
      </c>
      <c r="L538" s="6">
        <v>0.0</v>
      </c>
    </row>
    <row r="539">
      <c r="A539" s="3" t="s">
        <v>1098</v>
      </c>
      <c r="B539" s="3" t="s">
        <v>1099</v>
      </c>
      <c r="C539" s="4">
        <v>45068.0</v>
      </c>
      <c r="D539" s="4">
        <v>45080.0</v>
      </c>
      <c r="E539" s="3" t="s">
        <v>14</v>
      </c>
      <c r="F539" s="5">
        <v>3.9</v>
      </c>
      <c r="G539" s="5">
        <v>57.0</v>
      </c>
      <c r="H539" s="6">
        <v>0.0</v>
      </c>
      <c r="I539" s="5">
        <v>42.0</v>
      </c>
      <c r="J539" s="3" t="s">
        <v>19</v>
      </c>
      <c r="K539" s="3" t="s">
        <v>16</v>
      </c>
      <c r="L539" s="6">
        <v>1.0</v>
      </c>
    </row>
    <row r="540">
      <c r="A540" s="3" t="s">
        <v>1100</v>
      </c>
      <c r="B540" s="3" t="s">
        <v>1101</v>
      </c>
      <c r="C540" s="4">
        <v>44954.0</v>
      </c>
      <c r="D540" s="4">
        <v>44966.0</v>
      </c>
      <c r="E540" s="3" t="s">
        <v>14</v>
      </c>
      <c r="F540" s="5">
        <v>0.1</v>
      </c>
      <c r="G540" s="5">
        <v>59.0</v>
      </c>
      <c r="H540" s="6">
        <v>0.0</v>
      </c>
      <c r="I540" s="5">
        <v>23.0</v>
      </c>
      <c r="J540" s="3" t="s">
        <v>35</v>
      </c>
      <c r="K540" s="3" t="s">
        <v>16</v>
      </c>
      <c r="L540" s="6">
        <v>1.0</v>
      </c>
    </row>
    <row r="541">
      <c r="A541" s="3" t="s">
        <v>1102</v>
      </c>
      <c r="B541" s="3" t="s">
        <v>1103</v>
      </c>
      <c r="C541" s="4">
        <v>44961.0</v>
      </c>
      <c r="D541" s="4">
        <v>44973.0</v>
      </c>
      <c r="E541" s="3" t="s">
        <v>14</v>
      </c>
      <c r="F541" s="5">
        <v>2.7</v>
      </c>
      <c r="G541" s="5">
        <v>35.0</v>
      </c>
      <c r="H541" s="6">
        <v>1.0</v>
      </c>
      <c r="I541" s="5">
        <v>22.0</v>
      </c>
      <c r="J541" s="3" t="s">
        <v>23</v>
      </c>
      <c r="K541" s="3" t="s">
        <v>26</v>
      </c>
      <c r="L541" s="6">
        <v>1.0</v>
      </c>
    </row>
    <row r="542">
      <c r="A542" s="3" t="s">
        <v>1104</v>
      </c>
      <c r="B542" s="3" t="s">
        <v>1105</v>
      </c>
      <c r="C542" s="4">
        <v>44982.0</v>
      </c>
      <c r="D542" s="4">
        <v>44994.0</v>
      </c>
      <c r="E542" s="3" t="s">
        <v>14</v>
      </c>
      <c r="F542" s="5">
        <v>5.0</v>
      </c>
      <c r="G542" s="5">
        <v>77.0</v>
      </c>
      <c r="H542" s="6">
        <v>1.0</v>
      </c>
      <c r="I542" s="5">
        <v>33.0</v>
      </c>
      <c r="J542" s="3" t="s">
        <v>35</v>
      </c>
      <c r="K542" s="3" t="s">
        <v>47</v>
      </c>
      <c r="L542" s="6">
        <v>1.0</v>
      </c>
    </row>
    <row r="543">
      <c r="A543" s="3" t="s">
        <v>1106</v>
      </c>
      <c r="B543" s="3" t="s">
        <v>1107</v>
      </c>
      <c r="C543" s="4">
        <v>45176.0</v>
      </c>
      <c r="D543" s="4">
        <v>45188.0</v>
      </c>
      <c r="E543" s="3" t="s">
        <v>22</v>
      </c>
      <c r="F543" s="5">
        <v>3.5</v>
      </c>
      <c r="G543" s="5">
        <v>55.0</v>
      </c>
      <c r="H543" s="6">
        <v>1.0</v>
      </c>
      <c r="I543" s="5">
        <v>32.0</v>
      </c>
      <c r="J543" s="3" t="s">
        <v>15</v>
      </c>
      <c r="K543" s="3" t="s">
        <v>26</v>
      </c>
      <c r="L543" s="6">
        <v>0.0</v>
      </c>
    </row>
    <row r="544">
      <c r="A544" s="3" t="s">
        <v>1108</v>
      </c>
      <c r="B544" s="3" t="s">
        <v>1109</v>
      </c>
      <c r="C544" s="4">
        <v>44971.0</v>
      </c>
      <c r="D544" s="4">
        <v>44983.0</v>
      </c>
      <c r="E544" s="3" t="s">
        <v>29</v>
      </c>
      <c r="F544" s="5">
        <v>4.8</v>
      </c>
      <c r="G544" s="5">
        <v>43.0</v>
      </c>
      <c r="H544" s="6">
        <v>1.0</v>
      </c>
      <c r="I544" s="5">
        <v>26.0</v>
      </c>
      <c r="J544" s="3" t="s">
        <v>23</v>
      </c>
      <c r="K544" s="3" t="s">
        <v>16</v>
      </c>
      <c r="L544" s="6">
        <v>1.0</v>
      </c>
    </row>
    <row r="545">
      <c r="A545" s="3" t="s">
        <v>1110</v>
      </c>
      <c r="B545" s="3" t="s">
        <v>1111</v>
      </c>
      <c r="C545" s="4">
        <v>45158.0</v>
      </c>
      <c r="D545" s="4">
        <v>45170.0</v>
      </c>
      <c r="E545" s="3" t="s">
        <v>38</v>
      </c>
      <c r="F545" s="5">
        <v>4.3</v>
      </c>
      <c r="G545" s="5">
        <v>9.0</v>
      </c>
      <c r="H545" s="6">
        <v>1.0</v>
      </c>
      <c r="I545" s="5">
        <v>19.0</v>
      </c>
      <c r="J545" s="3" t="s">
        <v>15</v>
      </c>
      <c r="K545" s="3" t="s">
        <v>47</v>
      </c>
      <c r="L545" s="6">
        <v>1.0</v>
      </c>
    </row>
    <row r="546">
      <c r="A546" s="3" t="s">
        <v>1112</v>
      </c>
      <c r="B546" s="3" t="s">
        <v>1113</v>
      </c>
      <c r="C546" s="4">
        <v>45103.0</v>
      </c>
      <c r="D546" s="4">
        <v>45115.0</v>
      </c>
      <c r="E546" s="3" t="s">
        <v>22</v>
      </c>
      <c r="F546" s="5">
        <v>4.9</v>
      </c>
      <c r="G546" s="5">
        <v>27.0</v>
      </c>
      <c r="H546" s="6">
        <v>1.0</v>
      </c>
      <c r="I546" s="5">
        <v>44.0</v>
      </c>
      <c r="J546" s="3" t="s">
        <v>23</v>
      </c>
      <c r="K546" s="3" t="s">
        <v>47</v>
      </c>
      <c r="L546" s="6">
        <v>0.0</v>
      </c>
    </row>
    <row r="547">
      <c r="A547" s="3" t="s">
        <v>1114</v>
      </c>
      <c r="B547" s="3" t="s">
        <v>1115</v>
      </c>
      <c r="C547" s="4">
        <v>45234.0</v>
      </c>
      <c r="D547" s="4">
        <v>45246.0</v>
      </c>
      <c r="E547" s="3" t="s">
        <v>29</v>
      </c>
      <c r="F547" s="5">
        <v>2.9</v>
      </c>
      <c r="G547" s="5">
        <v>50.0</v>
      </c>
      <c r="H547" s="6">
        <v>1.0</v>
      </c>
      <c r="I547" s="5">
        <v>48.0</v>
      </c>
      <c r="J547" s="3" t="s">
        <v>32</v>
      </c>
      <c r="K547" s="3" t="s">
        <v>16</v>
      </c>
      <c r="L547" s="6">
        <v>1.0</v>
      </c>
    </row>
    <row r="548">
      <c r="A548" s="3" t="s">
        <v>1116</v>
      </c>
      <c r="B548" s="3" t="s">
        <v>1117</v>
      </c>
      <c r="C548" s="4">
        <v>45242.0</v>
      </c>
      <c r="D548" s="4">
        <v>45254.0</v>
      </c>
      <c r="E548" s="3" t="s">
        <v>14</v>
      </c>
      <c r="F548" s="5">
        <v>2.1</v>
      </c>
      <c r="G548" s="5">
        <v>25.0</v>
      </c>
      <c r="H548" s="6">
        <v>1.0</v>
      </c>
      <c r="I548" s="5">
        <v>21.0</v>
      </c>
      <c r="J548" s="3" t="s">
        <v>32</v>
      </c>
      <c r="K548" s="3" t="s">
        <v>16</v>
      </c>
      <c r="L548" s="6">
        <v>1.0</v>
      </c>
    </row>
    <row r="549">
      <c r="A549" s="3" t="s">
        <v>1118</v>
      </c>
      <c r="B549" s="3" t="s">
        <v>1119</v>
      </c>
      <c r="C549" s="4">
        <v>44944.0</v>
      </c>
      <c r="D549" s="4">
        <v>44956.0</v>
      </c>
      <c r="E549" s="3" t="s">
        <v>29</v>
      </c>
      <c r="F549" s="5">
        <v>2.2</v>
      </c>
      <c r="G549" s="5">
        <v>24.0</v>
      </c>
      <c r="H549" s="6">
        <v>1.0</v>
      </c>
      <c r="I549" s="5">
        <v>43.0</v>
      </c>
      <c r="J549" s="3" t="s">
        <v>35</v>
      </c>
      <c r="K549" s="3" t="s">
        <v>47</v>
      </c>
      <c r="L549" s="6">
        <v>0.0</v>
      </c>
    </row>
    <row r="550">
      <c r="A550" s="3" t="s">
        <v>1120</v>
      </c>
      <c r="B550" s="3" t="s">
        <v>1121</v>
      </c>
      <c r="C550" s="4">
        <v>45279.0</v>
      </c>
      <c r="D550" s="4">
        <v>45291.0</v>
      </c>
      <c r="E550" s="3" t="s">
        <v>29</v>
      </c>
      <c r="F550" s="5">
        <v>3.8</v>
      </c>
      <c r="G550" s="5">
        <v>34.0</v>
      </c>
      <c r="H550" s="6">
        <v>1.0</v>
      </c>
      <c r="I550" s="5">
        <v>13.0</v>
      </c>
      <c r="J550" s="3" t="s">
        <v>32</v>
      </c>
      <c r="K550" s="3" t="s">
        <v>47</v>
      </c>
      <c r="L550" s="6">
        <v>0.0</v>
      </c>
    </row>
    <row r="551">
      <c r="A551" s="3" t="s">
        <v>1122</v>
      </c>
      <c r="B551" s="3" t="s">
        <v>1123</v>
      </c>
      <c r="C551" s="4">
        <v>45151.0</v>
      </c>
      <c r="D551" s="4">
        <v>45163.0</v>
      </c>
      <c r="E551" s="3" t="s">
        <v>22</v>
      </c>
      <c r="F551" s="5">
        <v>1.1</v>
      </c>
      <c r="G551" s="5">
        <v>75.0</v>
      </c>
      <c r="H551" s="6">
        <v>0.0</v>
      </c>
      <c r="I551" s="5">
        <v>23.0</v>
      </c>
      <c r="J551" s="3" t="s">
        <v>19</v>
      </c>
      <c r="K551" s="3" t="s">
        <v>47</v>
      </c>
      <c r="L551" s="6">
        <v>0.0</v>
      </c>
    </row>
    <row r="552">
      <c r="A552" s="3" t="s">
        <v>1124</v>
      </c>
      <c r="B552" s="3" t="s">
        <v>1125</v>
      </c>
      <c r="C552" s="4">
        <v>45194.0</v>
      </c>
      <c r="D552" s="4">
        <v>45206.0</v>
      </c>
      <c r="E552" s="3" t="s">
        <v>38</v>
      </c>
      <c r="F552" s="5">
        <v>2.3</v>
      </c>
      <c r="G552" s="5">
        <v>89.0</v>
      </c>
      <c r="H552" s="6">
        <v>0.0</v>
      </c>
      <c r="I552" s="5">
        <v>29.0</v>
      </c>
      <c r="J552" s="3" t="s">
        <v>35</v>
      </c>
      <c r="K552" s="3" t="s">
        <v>26</v>
      </c>
      <c r="L552" s="6">
        <v>0.0</v>
      </c>
    </row>
    <row r="553">
      <c r="A553" s="3" t="s">
        <v>1126</v>
      </c>
      <c r="B553" s="3" t="s">
        <v>1127</v>
      </c>
      <c r="C553" s="4">
        <v>45125.0</v>
      </c>
      <c r="D553" s="4">
        <v>45137.0</v>
      </c>
      <c r="E553" s="3" t="s">
        <v>22</v>
      </c>
      <c r="F553" s="5">
        <v>1.8</v>
      </c>
      <c r="G553" s="5">
        <v>28.0</v>
      </c>
      <c r="H553" s="6">
        <v>1.0</v>
      </c>
      <c r="I553" s="5">
        <v>45.0</v>
      </c>
      <c r="J553" s="3" t="s">
        <v>15</v>
      </c>
      <c r="K553" s="3" t="s">
        <v>16</v>
      </c>
      <c r="L553" s="6">
        <v>1.0</v>
      </c>
    </row>
    <row r="554">
      <c r="A554" s="3" t="s">
        <v>1128</v>
      </c>
      <c r="B554" s="3" t="s">
        <v>1129</v>
      </c>
      <c r="C554" s="4">
        <v>45137.0</v>
      </c>
      <c r="D554" s="4">
        <v>45149.0</v>
      </c>
      <c r="E554" s="3" t="s">
        <v>29</v>
      </c>
      <c r="F554" s="5">
        <v>4.1</v>
      </c>
      <c r="G554" s="5">
        <v>81.0</v>
      </c>
      <c r="H554" s="6">
        <v>0.0</v>
      </c>
      <c r="I554" s="5">
        <v>42.0</v>
      </c>
      <c r="J554" s="3" t="s">
        <v>32</v>
      </c>
      <c r="K554" s="3" t="s">
        <v>16</v>
      </c>
      <c r="L554" s="6">
        <v>1.0</v>
      </c>
    </row>
    <row r="555">
      <c r="A555" s="3" t="s">
        <v>1130</v>
      </c>
      <c r="B555" s="3" t="s">
        <v>1131</v>
      </c>
      <c r="C555" s="4">
        <v>45216.0</v>
      </c>
      <c r="D555" s="4">
        <v>45228.0</v>
      </c>
      <c r="E555" s="3" t="s">
        <v>29</v>
      </c>
      <c r="F555" s="5">
        <v>3.3</v>
      </c>
      <c r="G555" s="5">
        <v>82.0</v>
      </c>
      <c r="H555" s="6">
        <v>1.0</v>
      </c>
      <c r="I555" s="5">
        <v>50.0</v>
      </c>
      <c r="J555" s="3" t="s">
        <v>15</v>
      </c>
      <c r="K555" s="3" t="s">
        <v>16</v>
      </c>
      <c r="L555" s="6">
        <v>0.0</v>
      </c>
    </row>
    <row r="556">
      <c r="A556" s="3" t="s">
        <v>1132</v>
      </c>
      <c r="B556" s="3" t="s">
        <v>1133</v>
      </c>
      <c r="C556" s="4">
        <v>44978.0</v>
      </c>
      <c r="D556" s="4">
        <v>44990.0</v>
      </c>
      <c r="E556" s="3" t="s">
        <v>22</v>
      </c>
      <c r="F556" s="5">
        <v>3.0</v>
      </c>
      <c r="G556" s="5">
        <v>6.0</v>
      </c>
      <c r="H556" s="6">
        <v>1.0</v>
      </c>
      <c r="I556" s="5">
        <v>47.0</v>
      </c>
      <c r="J556" s="3" t="s">
        <v>35</v>
      </c>
      <c r="K556" s="3" t="s">
        <v>26</v>
      </c>
      <c r="L556" s="6">
        <v>1.0</v>
      </c>
    </row>
    <row r="557">
      <c r="A557" s="3" t="s">
        <v>1134</v>
      </c>
      <c r="B557" s="3" t="s">
        <v>1135</v>
      </c>
      <c r="C557" s="4">
        <v>45252.0</v>
      </c>
      <c r="D557" s="4">
        <v>45264.0</v>
      </c>
      <c r="E557" s="3" t="s">
        <v>29</v>
      </c>
      <c r="F557" s="5">
        <v>1.0</v>
      </c>
      <c r="G557" s="5">
        <v>68.0</v>
      </c>
      <c r="H557" s="6">
        <v>1.0</v>
      </c>
      <c r="I557" s="5">
        <v>17.0</v>
      </c>
      <c r="J557" s="3" t="s">
        <v>15</v>
      </c>
      <c r="K557" s="3" t="s">
        <v>47</v>
      </c>
      <c r="L557" s="6">
        <v>1.0</v>
      </c>
    </row>
    <row r="558">
      <c r="A558" s="3" t="s">
        <v>1136</v>
      </c>
      <c r="B558" s="3" t="s">
        <v>1137</v>
      </c>
      <c r="C558" s="4">
        <v>45008.0</v>
      </c>
      <c r="D558" s="4">
        <v>45020.0</v>
      </c>
      <c r="E558" s="3" t="s">
        <v>14</v>
      </c>
      <c r="F558" s="5">
        <v>1.5</v>
      </c>
      <c r="G558" s="5">
        <v>56.0</v>
      </c>
      <c r="H558" s="6">
        <v>0.0</v>
      </c>
      <c r="I558" s="5">
        <v>20.0</v>
      </c>
      <c r="J558" s="3" t="s">
        <v>23</v>
      </c>
      <c r="K558" s="3" t="s">
        <v>47</v>
      </c>
      <c r="L558" s="6">
        <v>1.0</v>
      </c>
    </row>
    <row r="559">
      <c r="A559" s="3" t="s">
        <v>1138</v>
      </c>
      <c r="B559" s="3" t="s">
        <v>1139</v>
      </c>
      <c r="C559" s="4">
        <v>45193.0</v>
      </c>
      <c r="D559" s="4">
        <v>45205.0</v>
      </c>
      <c r="E559" s="3" t="s">
        <v>29</v>
      </c>
      <c r="F559" s="5">
        <v>0.8</v>
      </c>
      <c r="G559" s="5">
        <v>14.0</v>
      </c>
      <c r="H559" s="6">
        <v>1.0</v>
      </c>
      <c r="I559" s="5">
        <v>24.0</v>
      </c>
      <c r="J559" s="3" t="s">
        <v>15</v>
      </c>
      <c r="K559" s="3" t="s">
        <v>26</v>
      </c>
      <c r="L559" s="6">
        <v>1.0</v>
      </c>
    </row>
    <row r="560">
      <c r="A560" s="3" t="s">
        <v>1140</v>
      </c>
      <c r="B560" s="3" t="s">
        <v>1141</v>
      </c>
      <c r="C560" s="4">
        <v>45131.0</v>
      </c>
      <c r="D560" s="4">
        <v>45143.0</v>
      </c>
      <c r="E560" s="3" t="s">
        <v>29</v>
      </c>
      <c r="F560" s="5">
        <v>0.6</v>
      </c>
      <c r="G560" s="5">
        <v>1.0</v>
      </c>
      <c r="H560" s="6">
        <v>1.0</v>
      </c>
      <c r="I560" s="5">
        <v>51.0</v>
      </c>
      <c r="J560" s="3" t="s">
        <v>35</v>
      </c>
      <c r="K560" s="3" t="s">
        <v>26</v>
      </c>
      <c r="L560" s="6">
        <v>1.0</v>
      </c>
    </row>
    <row r="561">
      <c r="A561" s="3" t="s">
        <v>1142</v>
      </c>
      <c r="B561" s="3" t="s">
        <v>1143</v>
      </c>
      <c r="C561" s="4">
        <v>44968.0</v>
      </c>
      <c r="D561" s="4">
        <v>44980.0</v>
      </c>
      <c r="E561" s="3" t="s">
        <v>14</v>
      </c>
      <c r="F561" s="5">
        <v>0.0</v>
      </c>
      <c r="G561" s="5">
        <v>52.0</v>
      </c>
      <c r="H561" s="6">
        <v>1.0</v>
      </c>
      <c r="I561" s="5">
        <v>28.0</v>
      </c>
      <c r="J561" s="3" t="s">
        <v>23</v>
      </c>
      <c r="K561" s="3" t="s">
        <v>47</v>
      </c>
      <c r="L561" s="6">
        <v>1.0</v>
      </c>
    </row>
    <row r="562">
      <c r="A562" s="3" t="s">
        <v>1144</v>
      </c>
      <c r="B562" s="3" t="s">
        <v>1145</v>
      </c>
      <c r="C562" s="4">
        <v>45186.0</v>
      </c>
      <c r="D562" s="4">
        <v>45198.0</v>
      </c>
      <c r="E562" s="3" t="s">
        <v>38</v>
      </c>
      <c r="F562" s="5">
        <v>3.4</v>
      </c>
      <c r="G562" s="5">
        <v>80.0</v>
      </c>
      <c r="H562" s="6">
        <v>1.0</v>
      </c>
      <c r="I562" s="5">
        <v>15.0</v>
      </c>
      <c r="J562" s="3" t="s">
        <v>19</v>
      </c>
      <c r="K562" s="3" t="s">
        <v>16</v>
      </c>
      <c r="L562" s="6">
        <v>0.0</v>
      </c>
    </row>
    <row r="563">
      <c r="A563" s="3" t="s">
        <v>1146</v>
      </c>
      <c r="B563" s="3" t="s">
        <v>1147</v>
      </c>
      <c r="C563" s="4">
        <v>45159.0</v>
      </c>
      <c r="D563" s="4">
        <v>45171.0</v>
      </c>
      <c r="E563" s="3" t="s">
        <v>22</v>
      </c>
      <c r="F563" s="5">
        <v>4.4</v>
      </c>
      <c r="G563" s="5">
        <v>61.0</v>
      </c>
      <c r="H563" s="6">
        <v>1.0</v>
      </c>
      <c r="I563" s="5">
        <v>52.0</v>
      </c>
      <c r="J563" s="3" t="s">
        <v>19</v>
      </c>
      <c r="K563" s="3" t="s">
        <v>16</v>
      </c>
      <c r="L563" s="6">
        <v>1.0</v>
      </c>
    </row>
    <row r="564">
      <c r="A564" s="3" t="s">
        <v>1148</v>
      </c>
      <c r="B564" s="3" t="s">
        <v>1149</v>
      </c>
      <c r="C564" s="4">
        <v>45153.0</v>
      </c>
      <c r="D564" s="4">
        <v>45165.0</v>
      </c>
      <c r="E564" s="3" t="s">
        <v>22</v>
      </c>
      <c r="F564" s="5">
        <v>2.7</v>
      </c>
      <c r="G564" s="5">
        <v>42.0</v>
      </c>
      <c r="H564" s="6">
        <v>1.0</v>
      </c>
      <c r="I564" s="5">
        <v>39.0</v>
      </c>
      <c r="J564" s="3" t="s">
        <v>15</v>
      </c>
      <c r="K564" s="3" t="s">
        <v>47</v>
      </c>
      <c r="L564" s="6">
        <v>0.0</v>
      </c>
    </row>
    <row r="565">
      <c r="A565" s="3" t="s">
        <v>1150</v>
      </c>
      <c r="B565" s="3" t="s">
        <v>1151</v>
      </c>
      <c r="C565" s="4">
        <v>45277.0</v>
      </c>
      <c r="D565" s="4">
        <v>45289.0</v>
      </c>
      <c r="E565" s="3" t="s">
        <v>38</v>
      </c>
      <c r="F565" s="5">
        <v>3.7</v>
      </c>
      <c r="G565" s="5">
        <v>38.0</v>
      </c>
      <c r="H565" s="6">
        <v>0.0</v>
      </c>
      <c r="I565" s="5">
        <v>40.0</v>
      </c>
      <c r="J565" s="3" t="s">
        <v>19</v>
      </c>
      <c r="K565" s="3" t="s">
        <v>26</v>
      </c>
      <c r="L565" s="6">
        <v>1.0</v>
      </c>
    </row>
    <row r="566">
      <c r="A566" s="3" t="s">
        <v>1152</v>
      </c>
      <c r="B566" s="3" t="s">
        <v>1153</v>
      </c>
      <c r="C566" s="4">
        <v>45061.0</v>
      </c>
      <c r="D566" s="4">
        <v>45073.0</v>
      </c>
      <c r="E566" s="3" t="s">
        <v>14</v>
      </c>
      <c r="F566" s="5">
        <v>4.2</v>
      </c>
      <c r="G566" s="5">
        <v>30.0</v>
      </c>
      <c r="H566" s="6">
        <v>0.0</v>
      </c>
      <c r="I566" s="5">
        <v>27.0</v>
      </c>
      <c r="J566" s="3" t="s">
        <v>15</v>
      </c>
      <c r="K566" s="3" t="s">
        <v>16</v>
      </c>
      <c r="L566" s="6">
        <v>0.0</v>
      </c>
    </row>
    <row r="567">
      <c r="A567" s="3" t="s">
        <v>1154</v>
      </c>
      <c r="B567" s="3" t="s">
        <v>1155</v>
      </c>
      <c r="C567" s="4">
        <v>45247.0</v>
      </c>
      <c r="D567" s="4">
        <v>45259.0</v>
      </c>
      <c r="E567" s="3" t="s">
        <v>38</v>
      </c>
      <c r="F567" s="5">
        <v>3.3</v>
      </c>
      <c r="G567" s="5">
        <v>31.0</v>
      </c>
      <c r="H567" s="6">
        <v>1.0</v>
      </c>
      <c r="I567" s="5">
        <v>30.0</v>
      </c>
      <c r="J567" s="3" t="s">
        <v>23</v>
      </c>
      <c r="K567" s="3" t="s">
        <v>47</v>
      </c>
      <c r="L567" s="6">
        <v>1.0</v>
      </c>
    </row>
    <row r="568">
      <c r="A568" s="3" t="s">
        <v>1156</v>
      </c>
      <c r="B568" s="3" t="s">
        <v>1157</v>
      </c>
      <c r="C568" s="4">
        <v>44931.0</v>
      </c>
      <c r="D568" s="4">
        <v>44943.0</v>
      </c>
      <c r="E568" s="3" t="s">
        <v>29</v>
      </c>
      <c r="F568" s="5">
        <v>4.5</v>
      </c>
      <c r="G568" s="5">
        <v>18.0</v>
      </c>
      <c r="H568" s="6">
        <v>1.0</v>
      </c>
      <c r="I568" s="5">
        <v>49.0</v>
      </c>
      <c r="J568" s="3" t="s">
        <v>35</v>
      </c>
      <c r="K568" s="3" t="s">
        <v>26</v>
      </c>
      <c r="L568" s="6">
        <v>0.0</v>
      </c>
    </row>
    <row r="569">
      <c r="A569" s="3" t="s">
        <v>1158</v>
      </c>
      <c r="B569" s="3" t="s">
        <v>1159</v>
      </c>
      <c r="C569" s="4">
        <v>45059.0</v>
      </c>
      <c r="D569" s="4">
        <v>45071.0</v>
      </c>
      <c r="E569" s="3" t="s">
        <v>22</v>
      </c>
      <c r="F569" s="5">
        <v>3.0</v>
      </c>
      <c r="G569" s="5">
        <v>87.0</v>
      </c>
      <c r="H569" s="6">
        <v>0.0</v>
      </c>
      <c r="I569" s="5">
        <v>31.0</v>
      </c>
      <c r="J569" s="3" t="s">
        <v>35</v>
      </c>
      <c r="K569" s="3" t="s">
        <v>47</v>
      </c>
      <c r="L569" s="6">
        <v>0.0</v>
      </c>
    </row>
    <row r="570">
      <c r="A570" s="3" t="s">
        <v>1160</v>
      </c>
      <c r="B570" s="3" t="s">
        <v>1161</v>
      </c>
      <c r="C570" s="4">
        <v>44990.0</v>
      </c>
      <c r="D570" s="4">
        <v>45002.0</v>
      </c>
      <c r="E570" s="3" t="s">
        <v>14</v>
      </c>
      <c r="F570" s="5">
        <v>0.7</v>
      </c>
      <c r="G570" s="5">
        <v>65.0</v>
      </c>
      <c r="H570" s="6">
        <v>0.0</v>
      </c>
      <c r="I570" s="5">
        <v>53.0</v>
      </c>
      <c r="J570" s="3" t="s">
        <v>15</v>
      </c>
      <c r="K570" s="3" t="s">
        <v>47</v>
      </c>
      <c r="L570" s="6">
        <v>1.0</v>
      </c>
    </row>
    <row r="571">
      <c r="A571" s="3" t="s">
        <v>1162</v>
      </c>
      <c r="B571" s="3" t="s">
        <v>1163</v>
      </c>
      <c r="C571" s="4">
        <v>45163.0</v>
      </c>
      <c r="D571" s="4">
        <v>45175.0</v>
      </c>
      <c r="E571" s="3" t="s">
        <v>22</v>
      </c>
      <c r="F571" s="5">
        <v>1.0</v>
      </c>
      <c r="G571" s="5">
        <v>8.0</v>
      </c>
      <c r="H571" s="6">
        <v>1.0</v>
      </c>
      <c r="I571" s="5">
        <v>56.0</v>
      </c>
      <c r="J571" s="3" t="s">
        <v>19</v>
      </c>
      <c r="K571" s="3" t="s">
        <v>16</v>
      </c>
      <c r="L571" s="6">
        <v>1.0</v>
      </c>
    </row>
    <row r="572">
      <c r="A572" s="3" t="s">
        <v>1164</v>
      </c>
      <c r="B572" s="3" t="s">
        <v>1165</v>
      </c>
      <c r="C572" s="4">
        <v>45269.0</v>
      </c>
      <c r="D572" s="4">
        <v>45281.0</v>
      </c>
      <c r="E572" s="3" t="s">
        <v>29</v>
      </c>
      <c r="F572" s="5">
        <v>2.1</v>
      </c>
      <c r="G572" s="5">
        <v>99.0</v>
      </c>
      <c r="H572" s="6">
        <v>1.0</v>
      </c>
      <c r="I572" s="5">
        <v>25.0</v>
      </c>
      <c r="J572" s="3" t="s">
        <v>32</v>
      </c>
      <c r="K572" s="3" t="s">
        <v>47</v>
      </c>
      <c r="L572" s="6">
        <v>1.0</v>
      </c>
    </row>
    <row r="573">
      <c r="A573" s="3" t="s">
        <v>1166</v>
      </c>
      <c r="B573" s="3" t="s">
        <v>1167</v>
      </c>
      <c r="C573" s="4">
        <v>45205.0</v>
      </c>
      <c r="D573" s="4">
        <v>45217.0</v>
      </c>
      <c r="E573" s="3" t="s">
        <v>38</v>
      </c>
      <c r="F573" s="5">
        <v>2.5</v>
      </c>
      <c r="G573" s="5">
        <v>48.0</v>
      </c>
      <c r="H573" s="6">
        <v>0.0</v>
      </c>
      <c r="I573" s="5">
        <v>37.0</v>
      </c>
      <c r="J573" s="3" t="s">
        <v>15</v>
      </c>
      <c r="K573" s="3" t="s">
        <v>26</v>
      </c>
      <c r="L573" s="6">
        <v>0.0</v>
      </c>
    </row>
    <row r="574">
      <c r="A574" s="3" t="s">
        <v>1168</v>
      </c>
      <c r="B574" s="3" t="s">
        <v>1169</v>
      </c>
      <c r="C574" s="4">
        <v>45014.0</v>
      </c>
      <c r="D574" s="4">
        <v>45026.0</v>
      </c>
      <c r="E574" s="3" t="s">
        <v>22</v>
      </c>
      <c r="F574" s="5">
        <v>2.3</v>
      </c>
      <c r="G574" s="5">
        <v>97.0</v>
      </c>
      <c r="H574" s="6">
        <v>0.0</v>
      </c>
      <c r="I574" s="5">
        <v>34.0</v>
      </c>
      <c r="J574" s="3" t="s">
        <v>19</v>
      </c>
      <c r="K574" s="3" t="s">
        <v>26</v>
      </c>
      <c r="L574" s="6">
        <v>1.0</v>
      </c>
    </row>
    <row r="575">
      <c r="A575" s="3" t="s">
        <v>1170</v>
      </c>
      <c r="B575" s="3" t="s">
        <v>1171</v>
      </c>
      <c r="C575" s="4">
        <v>45232.0</v>
      </c>
      <c r="D575" s="4">
        <v>45244.0</v>
      </c>
      <c r="E575" s="3" t="s">
        <v>14</v>
      </c>
      <c r="F575" s="5">
        <v>4.1</v>
      </c>
      <c r="G575" s="5">
        <v>94.0</v>
      </c>
      <c r="H575" s="6">
        <v>1.0</v>
      </c>
      <c r="I575" s="5">
        <v>22.0</v>
      </c>
      <c r="J575" s="3" t="s">
        <v>19</v>
      </c>
      <c r="K575" s="3" t="s">
        <v>26</v>
      </c>
      <c r="L575" s="6">
        <v>0.0</v>
      </c>
    </row>
    <row r="576">
      <c r="A576" s="3" t="s">
        <v>1172</v>
      </c>
      <c r="B576" s="3" t="s">
        <v>1173</v>
      </c>
      <c r="C576" s="4">
        <v>45209.0</v>
      </c>
      <c r="D576" s="4">
        <v>45221.0</v>
      </c>
      <c r="E576" s="3" t="s">
        <v>29</v>
      </c>
      <c r="F576" s="5">
        <v>2.4</v>
      </c>
      <c r="G576" s="5">
        <v>7.0</v>
      </c>
      <c r="H576" s="6">
        <v>0.0</v>
      </c>
      <c r="I576" s="5">
        <v>41.0</v>
      </c>
      <c r="J576" s="3" t="s">
        <v>23</v>
      </c>
      <c r="K576" s="3" t="s">
        <v>16</v>
      </c>
      <c r="L576" s="6">
        <v>0.0</v>
      </c>
    </row>
    <row r="577">
      <c r="A577" s="3" t="s">
        <v>1174</v>
      </c>
      <c r="B577" s="3" t="s">
        <v>1175</v>
      </c>
      <c r="C577" s="4">
        <v>45045.0</v>
      </c>
      <c r="D577" s="4">
        <v>45057.0</v>
      </c>
      <c r="E577" s="3" t="s">
        <v>29</v>
      </c>
      <c r="F577" s="5">
        <v>2.0</v>
      </c>
      <c r="G577" s="5">
        <v>95.0</v>
      </c>
      <c r="H577" s="6">
        <v>0.0</v>
      </c>
      <c r="I577" s="5">
        <v>54.0</v>
      </c>
      <c r="J577" s="3" t="s">
        <v>35</v>
      </c>
      <c r="K577" s="3" t="s">
        <v>47</v>
      </c>
      <c r="L577" s="6">
        <v>0.0</v>
      </c>
    </row>
    <row r="578">
      <c r="A578" s="3" t="s">
        <v>1176</v>
      </c>
      <c r="B578" s="3" t="s">
        <v>1177</v>
      </c>
      <c r="C578" s="4">
        <v>45239.0</v>
      </c>
      <c r="D578" s="4">
        <v>45251.0</v>
      </c>
      <c r="E578" s="3" t="s">
        <v>38</v>
      </c>
      <c r="F578" s="5">
        <v>4.9</v>
      </c>
      <c r="G578" s="5">
        <v>63.0</v>
      </c>
      <c r="H578" s="6">
        <v>0.0</v>
      </c>
      <c r="I578" s="5">
        <v>46.0</v>
      </c>
      <c r="J578" s="3" t="s">
        <v>35</v>
      </c>
      <c r="K578" s="3" t="s">
        <v>47</v>
      </c>
      <c r="L578" s="6">
        <v>0.0</v>
      </c>
    </row>
    <row r="579">
      <c r="A579" s="3" t="s">
        <v>1178</v>
      </c>
      <c r="B579" s="3" t="s">
        <v>1179</v>
      </c>
      <c r="C579" s="4">
        <v>45066.0</v>
      </c>
      <c r="D579" s="4">
        <v>45078.0</v>
      </c>
      <c r="E579" s="3" t="s">
        <v>38</v>
      </c>
      <c r="F579" s="5">
        <v>3.4</v>
      </c>
      <c r="G579" s="5">
        <v>36.0</v>
      </c>
      <c r="H579" s="6">
        <v>1.0</v>
      </c>
      <c r="I579" s="5">
        <v>35.0</v>
      </c>
      <c r="J579" s="3" t="s">
        <v>35</v>
      </c>
      <c r="K579" s="3" t="s">
        <v>16</v>
      </c>
      <c r="L579" s="6">
        <v>1.0</v>
      </c>
    </row>
    <row r="580">
      <c r="A580" s="3" t="s">
        <v>1180</v>
      </c>
      <c r="B580" s="3" t="s">
        <v>1181</v>
      </c>
      <c r="C580" s="4">
        <v>44939.0</v>
      </c>
      <c r="D580" s="4">
        <v>44951.0</v>
      </c>
      <c r="E580" s="3" t="s">
        <v>38</v>
      </c>
      <c r="F580" s="5">
        <v>1.9</v>
      </c>
      <c r="G580" s="5">
        <v>70.0</v>
      </c>
      <c r="H580" s="6">
        <v>0.0</v>
      </c>
      <c r="I580" s="5">
        <v>38.0</v>
      </c>
      <c r="J580" s="3" t="s">
        <v>35</v>
      </c>
      <c r="K580" s="3" t="s">
        <v>26</v>
      </c>
      <c r="L580" s="6">
        <v>1.0</v>
      </c>
    </row>
    <row r="581">
      <c r="A581" s="3" t="s">
        <v>1182</v>
      </c>
      <c r="B581" s="3" t="s">
        <v>1183</v>
      </c>
      <c r="C581" s="4">
        <v>44929.0</v>
      </c>
      <c r="D581" s="4">
        <v>44941.0</v>
      </c>
      <c r="E581" s="3" t="s">
        <v>38</v>
      </c>
      <c r="F581" s="5">
        <v>0.6</v>
      </c>
      <c r="G581" s="5">
        <v>47.0</v>
      </c>
      <c r="H581" s="6">
        <v>0.0</v>
      </c>
      <c r="I581" s="5">
        <v>36.0</v>
      </c>
      <c r="J581" s="3" t="s">
        <v>19</v>
      </c>
      <c r="K581" s="3" t="s">
        <v>26</v>
      </c>
      <c r="L581" s="6">
        <v>0.0</v>
      </c>
    </row>
    <row r="582">
      <c r="A582" s="3" t="s">
        <v>1184</v>
      </c>
      <c r="B582" s="3" t="s">
        <v>1185</v>
      </c>
      <c r="C582" s="4">
        <v>45018.0</v>
      </c>
      <c r="D582" s="4">
        <v>45030.0</v>
      </c>
      <c r="E582" s="3" t="s">
        <v>22</v>
      </c>
      <c r="F582" s="5">
        <v>2.8</v>
      </c>
      <c r="G582" s="5">
        <v>37.0</v>
      </c>
      <c r="H582" s="6">
        <v>1.0</v>
      </c>
      <c r="I582" s="5">
        <v>14.0</v>
      </c>
      <c r="J582" s="3" t="s">
        <v>15</v>
      </c>
      <c r="K582" s="3" t="s">
        <v>26</v>
      </c>
      <c r="L582" s="6">
        <v>0.0</v>
      </c>
    </row>
    <row r="583">
      <c r="A583" s="3" t="s">
        <v>1186</v>
      </c>
      <c r="B583" s="3" t="s">
        <v>1187</v>
      </c>
      <c r="C583" s="4">
        <v>45131.0</v>
      </c>
      <c r="D583" s="4">
        <v>45143.0</v>
      </c>
      <c r="E583" s="3" t="s">
        <v>14</v>
      </c>
      <c r="F583" s="5">
        <v>0.9</v>
      </c>
      <c r="G583" s="5">
        <v>51.0</v>
      </c>
      <c r="H583" s="6">
        <v>1.0</v>
      </c>
      <c r="I583" s="5">
        <v>12.0</v>
      </c>
      <c r="J583" s="3" t="s">
        <v>35</v>
      </c>
      <c r="K583" s="3" t="s">
        <v>47</v>
      </c>
      <c r="L583" s="6">
        <v>1.0</v>
      </c>
    </row>
    <row r="584">
      <c r="A584" s="3" t="s">
        <v>1188</v>
      </c>
      <c r="B584" s="3" t="s">
        <v>1189</v>
      </c>
      <c r="C584" s="4">
        <v>45044.0</v>
      </c>
      <c r="D584" s="4">
        <v>45056.0</v>
      </c>
      <c r="E584" s="3" t="s">
        <v>14</v>
      </c>
      <c r="F584" s="5">
        <v>0.8</v>
      </c>
      <c r="G584" s="5">
        <v>26.0</v>
      </c>
      <c r="H584" s="6">
        <v>1.0</v>
      </c>
      <c r="I584" s="5">
        <v>16.0</v>
      </c>
      <c r="J584" s="3" t="s">
        <v>15</v>
      </c>
      <c r="K584" s="3" t="s">
        <v>16</v>
      </c>
      <c r="L584" s="6">
        <v>0.0</v>
      </c>
    </row>
    <row r="585">
      <c r="A585" s="3" t="s">
        <v>1190</v>
      </c>
      <c r="B585" s="3" t="s">
        <v>1191</v>
      </c>
      <c r="C585" s="4">
        <v>45048.0</v>
      </c>
      <c r="D585" s="4">
        <v>45060.0</v>
      </c>
      <c r="E585" s="3" t="s">
        <v>29</v>
      </c>
      <c r="F585" s="5">
        <v>3.5</v>
      </c>
      <c r="G585" s="5">
        <v>93.0</v>
      </c>
      <c r="H585" s="6">
        <v>1.0</v>
      </c>
      <c r="I585" s="5">
        <v>18.0</v>
      </c>
      <c r="J585" s="3" t="s">
        <v>15</v>
      </c>
      <c r="K585" s="3" t="s">
        <v>26</v>
      </c>
      <c r="L585" s="6">
        <v>1.0</v>
      </c>
    </row>
    <row r="586">
      <c r="A586" s="3" t="s">
        <v>1192</v>
      </c>
      <c r="B586" s="3" t="s">
        <v>1193</v>
      </c>
      <c r="C586" s="4">
        <v>45048.0</v>
      </c>
      <c r="D586" s="4">
        <v>45060.0</v>
      </c>
      <c r="E586" s="3" t="s">
        <v>14</v>
      </c>
      <c r="F586" s="5">
        <v>0.5</v>
      </c>
      <c r="G586" s="5">
        <v>5.0</v>
      </c>
      <c r="H586" s="6">
        <v>1.0</v>
      </c>
      <c r="I586" s="5">
        <v>55.0</v>
      </c>
      <c r="J586" s="3" t="s">
        <v>19</v>
      </c>
      <c r="K586" s="3" t="s">
        <v>47</v>
      </c>
      <c r="L586" s="6">
        <v>1.0</v>
      </c>
    </row>
    <row r="587">
      <c r="A587" s="3" t="s">
        <v>1194</v>
      </c>
      <c r="B587" s="3" t="s">
        <v>1195</v>
      </c>
      <c r="C587" s="4">
        <v>45160.0</v>
      </c>
      <c r="D587" s="4">
        <v>45172.0</v>
      </c>
      <c r="E587" s="3" t="s">
        <v>22</v>
      </c>
      <c r="F587" s="5">
        <v>3.8</v>
      </c>
      <c r="G587" s="5">
        <v>4.0</v>
      </c>
      <c r="H587" s="6">
        <v>1.0</v>
      </c>
      <c r="I587" s="5">
        <v>38.0</v>
      </c>
      <c r="J587" s="3" t="s">
        <v>15</v>
      </c>
      <c r="K587" s="3" t="s">
        <v>47</v>
      </c>
      <c r="L587" s="6">
        <v>0.0</v>
      </c>
    </row>
    <row r="588">
      <c r="A588" s="3" t="s">
        <v>1196</v>
      </c>
      <c r="B588" s="3" t="s">
        <v>1197</v>
      </c>
      <c r="C588" s="4">
        <v>44962.0</v>
      </c>
      <c r="D588" s="4">
        <v>44974.0</v>
      </c>
      <c r="E588" s="3" t="s">
        <v>14</v>
      </c>
      <c r="F588" s="5">
        <v>4.0</v>
      </c>
      <c r="G588" s="5">
        <v>15.0</v>
      </c>
      <c r="H588" s="6">
        <v>0.0</v>
      </c>
      <c r="I588" s="5">
        <v>44.0</v>
      </c>
      <c r="J588" s="3" t="s">
        <v>19</v>
      </c>
      <c r="K588" s="3" t="s">
        <v>26</v>
      </c>
      <c r="L588" s="6">
        <v>0.0</v>
      </c>
    </row>
    <row r="589">
      <c r="A589" s="3" t="s">
        <v>1198</v>
      </c>
      <c r="B589" s="3" t="s">
        <v>1199</v>
      </c>
      <c r="C589" s="4">
        <v>45055.0</v>
      </c>
      <c r="D589" s="4">
        <v>45067.0</v>
      </c>
      <c r="E589" s="3" t="s">
        <v>38</v>
      </c>
      <c r="F589" s="5">
        <v>0.4</v>
      </c>
      <c r="G589" s="5">
        <v>33.0</v>
      </c>
      <c r="H589" s="6">
        <v>0.0</v>
      </c>
      <c r="I589" s="5">
        <v>18.0</v>
      </c>
      <c r="J589" s="3" t="s">
        <v>32</v>
      </c>
      <c r="K589" s="3" t="s">
        <v>26</v>
      </c>
      <c r="L589" s="6">
        <v>0.0</v>
      </c>
    </row>
    <row r="590">
      <c r="A590" s="3" t="s">
        <v>1200</v>
      </c>
      <c r="B590" s="3" t="s">
        <v>1201</v>
      </c>
      <c r="C590" s="4">
        <v>45244.0</v>
      </c>
      <c r="D590" s="4">
        <v>45256.0</v>
      </c>
      <c r="E590" s="3" t="s">
        <v>29</v>
      </c>
      <c r="F590" s="5">
        <v>3.1</v>
      </c>
      <c r="G590" s="5">
        <v>84.0</v>
      </c>
      <c r="H590" s="6">
        <v>0.0</v>
      </c>
      <c r="I590" s="5">
        <v>36.0</v>
      </c>
      <c r="J590" s="3" t="s">
        <v>19</v>
      </c>
      <c r="K590" s="3" t="s">
        <v>47</v>
      </c>
      <c r="L590" s="6">
        <v>1.0</v>
      </c>
    </row>
    <row r="591">
      <c r="A591" s="3" t="s">
        <v>1202</v>
      </c>
      <c r="B591" s="3" t="s">
        <v>1203</v>
      </c>
      <c r="C591" s="4">
        <v>45004.0</v>
      </c>
      <c r="D591" s="4">
        <v>45016.0</v>
      </c>
      <c r="E591" s="3" t="s">
        <v>14</v>
      </c>
      <c r="F591" s="5">
        <v>0.0</v>
      </c>
      <c r="G591" s="5">
        <v>32.0</v>
      </c>
      <c r="H591" s="6">
        <v>1.0</v>
      </c>
      <c r="I591" s="5">
        <v>26.0</v>
      </c>
      <c r="J591" s="3" t="s">
        <v>35</v>
      </c>
      <c r="K591" s="3" t="s">
        <v>16</v>
      </c>
      <c r="L591" s="6">
        <v>1.0</v>
      </c>
    </row>
    <row r="592">
      <c r="A592" s="3" t="s">
        <v>1204</v>
      </c>
      <c r="B592" s="3" t="s">
        <v>1205</v>
      </c>
      <c r="C592" s="4">
        <v>45028.0</v>
      </c>
      <c r="D592" s="4">
        <v>45040.0</v>
      </c>
      <c r="E592" s="3" t="s">
        <v>14</v>
      </c>
      <c r="F592" s="5">
        <v>4.3</v>
      </c>
      <c r="G592" s="5">
        <v>12.0</v>
      </c>
      <c r="H592" s="6">
        <v>1.0</v>
      </c>
      <c r="I592" s="5">
        <v>55.0</v>
      </c>
      <c r="J592" s="3" t="s">
        <v>35</v>
      </c>
      <c r="K592" s="3" t="s">
        <v>16</v>
      </c>
      <c r="L592" s="6">
        <v>1.0</v>
      </c>
    </row>
    <row r="593">
      <c r="A593" s="3" t="s">
        <v>1206</v>
      </c>
      <c r="B593" s="3" t="s">
        <v>1207</v>
      </c>
      <c r="C593" s="4">
        <v>44937.0</v>
      </c>
      <c r="D593" s="4">
        <v>44949.0</v>
      </c>
      <c r="E593" s="3" t="s">
        <v>29</v>
      </c>
      <c r="F593" s="5">
        <v>1.6</v>
      </c>
      <c r="G593" s="5">
        <v>53.0</v>
      </c>
      <c r="H593" s="6">
        <v>0.0</v>
      </c>
      <c r="I593" s="5">
        <v>31.0</v>
      </c>
      <c r="J593" s="3" t="s">
        <v>23</v>
      </c>
      <c r="K593" s="3" t="s">
        <v>16</v>
      </c>
      <c r="L593" s="6">
        <v>0.0</v>
      </c>
    </row>
    <row r="594">
      <c r="A594" s="3" t="s">
        <v>1208</v>
      </c>
      <c r="B594" s="3" t="s">
        <v>1209</v>
      </c>
      <c r="C594" s="4">
        <v>45202.0</v>
      </c>
      <c r="D594" s="4">
        <v>45214.0</v>
      </c>
      <c r="E594" s="3" t="s">
        <v>14</v>
      </c>
      <c r="F594" s="5">
        <v>5.0</v>
      </c>
      <c r="G594" s="5">
        <v>90.0</v>
      </c>
      <c r="H594" s="6">
        <v>0.0</v>
      </c>
      <c r="I594" s="5">
        <v>45.0</v>
      </c>
      <c r="J594" s="3" t="s">
        <v>15</v>
      </c>
      <c r="K594" s="3" t="s">
        <v>26</v>
      </c>
      <c r="L594" s="6">
        <v>1.0</v>
      </c>
    </row>
    <row r="595">
      <c r="A595" s="3" t="s">
        <v>1210</v>
      </c>
      <c r="B595" s="3" t="s">
        <v>1211</v>
      </c>
      <c r="C595" s="4">
        <v>45163.0</v>
      </c>
      <c r="D595" s="4">
        <v>45175.0</v>
      </c>
      <c r="E595" s="3" t="s">
        <v>29</v>
      </c>
      <c r="F595" s="5">
        <v>1.8</v>
      </c>
      <c r="G595" s="5">
        <v>22.0</v>
      </c>
      <c r="H595" s="6">
        <v>0.0</v>
      </c>
      <c r="I595" s="5">
        <v>52.0</v>
      </c>
      <c r="J595" s="3" t="s">
        <v>23</v>
      </c>
      <c r="K595" s="3" t="s">
        <v>16</v>
      </c>
      <c r="L595" s="6">
        <v>0.0</v>
      </c>
    </row>
    <row r="596">
      <c r="A596" s="3" t="s">
        <v>1212</v>
      </c>
      <c r="B596" s="3" t="s">
        <v>1213</v>
      </c>
      <c r="C596" s="4">
        <v>45082.0</v>
      </c>
      <c r="D596" s="4">
        <v>45094.0</v>
      </c>
      <c r="E596" s="3" t="s">
        <v>38</v>
      </c>
      <c r="F596" s="5">
        <v>0.3</v>
      </c>
      <c r="G596" s="5">
        <v>11.0</v>
      </c>
      <c r="H596" s="6">
        <v>1.0</v>
      </c>
      <c r="I596" s="5">
        <v>34.0</v>
      </c>
      <c r="J596" s="3" t="s">
        <v>19</v>
      </c>
      <c r="K596" s="3" t="s">
        <v>47</v>
      </c>
      <c r="L596" s="6">
        <v>1.0</v>
      </c>
    </row>
    <row r="597">
      <c r="A597" s="3" t="s">
        <v>1214</v>
      </c>
      <c r="B597" s="3" t="s">
        <v>1215</v>
      </c>
      <c r="C597" s="4">
        <v>45192.0</v>
      </c>
      <c r="D597" s="4">
        <v>45204.0</v>
      </c>
      <c r="E597" s="3" t="s">
        <v>29</v>
      </c>
      <c r="F597" s="5">
        <v>0.2</v>
      </c>
      <c r="G597" s="5">
        <v>49.0</v>
      </c>
      <c r="H597" s="6">
        <v>1.0</v>
      </c>
      <c r="I597" s="5">
        <v>33.0</v>
      </c>
      <c r="J597" s="3" t="s">
        <v>19</v>
      </c>
      <c r="K597" s="3" t="s">
        <v>47</v>
      </c>
      <c r="L597" s="6">
        <v>0.0</v>
      </c>
    </row>
    <row r="598">
      <c r="A598" s="3" t="s">
        <v>1216</v>
      </c>
      <c r="B598" s="3" t="s">
        <v>1217</v>
      </c>
      <c r="C598" s="4">
        <v>45039.0</v>
      </c>
      <c r="D598" s="4">
        <v>45051.0</v>
      </c>
      <c r="E598" s="3" t="s">
        <v>22</v>
      </c>
      <c r="F598" s="5">
        <v>4.7</v>
      </c>
      <c r="G598" s="5">
        <v>88.0</v>
      </c>
      <c r="H598" s="6">
        <v>0.0</v>
      </c>
      <c r="I598" s="5">
        <v>29.0</v>
      </c>
      <c r="J598" s="3" t="s">
        <v>15</v>
      </c>
      <c r="K598" s="3" t="s">
        <v>16</v>
      </c>
      <c r="L598" s="6">
        <v>1.0</v>
      </c>
    </row>
    <row r="599">
      <c r="A599" s="3" t="s">
        <v>1218</v>
      </c>
      <c r="B599" s="3" t="s">
        <v>1219</v>
      </c>
      <c r="C599" s="4">
        <v>45195.0</v>
      </c>
      <c r="D599" s="4">
        <v>45207.0</v>
      </c>
      <c r="E599" s="3" t="s">
        <v>38</v>
      </c>
      <c r="F599" s="5">
        <v>4.8</v>
      </c>
      <c r="G599" s="5">
        <v>21.0</v>
      </c>
      <c r="H599" s="6">
        <v>0.0</v>
      </c>
      <c r="I599" s="5">
        <v>32.0</v>
      </c>
      <c r="J599" s="3" t="s">
        <v>15</v>
      </c>
      <c r="K599" s="3" t="s">
        <v>26</v>
      </c>
      <c r="L599" s="6">
        <v>1.0</v>
      </c>
    </row>
    <row r="600">
      <c r="A600" s="3" t="s">
        <v>1220</v>
      </c>
      <c r="B600" s="3" t="s">
        <v>1221</v>
      </c>
      <c r="C600" s="4">
        <v>45166.0</v>
      </c>
      <c r="D600" s="4">
        <v>45178.0</v>
      </c>
      <c r="E600" s="3" t="s">
        <v>22</v>
      </c>
      <c r="F600" s="5">
        <v>2.6</v>
      </c>
      <c r="G600" s="5">
        <v>41.0</v>
      </c>
      <c r="H600" s="6">
        <v>1.0</v>
      </c>
      <c r="I600" s="5">
        <v>41.0</v>
      </c>
      <c r="J600" s="3" t="s">
        <v>15</v>
      </c>
      <c r="K600" s="3" t="s">
        <v>47</v>
      </c>
      <c r="L600" s="6">
        <v>1.0</v>
      </c>
    </row>
    <row r="601">
      <c r="A601" s="3" t="s">
        <v>1222</v>
      </c>
      <c r="B601" s="3" t="s">
        <v>1223</v>
      </c>
      <c r="C601" s="4">
        <v>45157.0</v>
      </c>
      <c r="D601" s="4">
        <v>45169.0</v>
      </c>
      <c r="E601" s="3" t="s">
        <v>14</v>
      </c>
      <c r="F601" s="5">
        <v>1.7</v>
      </c>
      <c r="G601" s="8"/>
      <c r="H601" s="6">
        <v>0.0</v>
      </c>
      <c r="I601" s="5">
        <v>48.0</v>
      </c>
      <c r="J601" s="3" t="s">
        <v>19</v>
      </c>
      <c r="K601" s="3" t="s">
        <v>26</v>
      </c>
      <c r="L601" s="6">
        <v>1.0</v>
      </c>
    </row>
    <row r="602">
      <c r="C602" s="9"/>
      <c r="D602" s="9"/>
      <c r="F602" s="8"/>
      <c r="G602" s="8"/>
      <c r="H602" s="9"/>
      <c r="I602" s="8"/>
      <c r="L602" s="9"/>
    </row>
    <row r="603">
      <c r="C603" s="9"/>
      <c r="D603" s="9"/>
      <c r="F603" s="8"/>
      <c r="G603" s="8"/>
      <c r="H603" s="9"/>
      <c r="I603" s="8"/>
      <c r="L603" s="9"/>
    </row>
    <row r="604">
      <c r="C604" s="9"/>
      <c r="D604" s="9"/>
      <c r="F604" s="8"/>
      <c r="G604" s="8"/>
      <c r="H604" s="9"/>
      <c r="I604" s="8"/>
      <c r="L604" s="9"/>
    </row>
    <row r="605">
      <c r="C605" s="9"/>
      <c r="D605" s="9"/>
      <c r="F605" s="8"/>
      <c r="G605" s="8"/>
      <c r="H605" s="9"/>
      <c r="I605" s="8"/>
      <c r="L605" s="9"/>
    </row>
    <row r="606">
      <c r="C606" s="9"/>
      <c r="D606" s="9"/>
      <c r="F606" s="8"/>
      <c r="G606" s="8"/>
      <c r="H606" s="9"/>
      <c r="I606" s="8"/>
      <c r="L606" s="9"/>
    </row>
    <row r="607">
      <c r="C607" s="9"/>
      <c r="D607" s="9"/>
      <c r="F607" s="8"/>
      <c r="G607" s="8"/>
      <c r="H607" s="9"/>
      <c r="I607" s="8"/>
      <c r="L607" s="9"/>
    </row>
    <row r="608">
      <c r="C608" s="9"/>
      <c r="D608" s="9"/>
      <c r="F608" s="8"/>
      <c r="G608" s="8"/>
      <c r="H608" s="9"/>
      <c r="I608" s="8"/>
      <c r="L608" s="9"/>
    </row>
    <row r="609">
      <c r="C609" s="9"/>
      <c r="D609" s="9"/>
      <c r="F609" s="8"/>
      <c r="G609" s="8"/>
      <c r="H609" s="9"/>
      <c r="I609" s="8"/>
      <c r="L609" s="9"/>
    </row>
    <row r="610">
      <c r="C610" s="9"/>
      <c r="D610" s="9"/>
      <c r="F610" s="8"/>
      <c r="G610" s="8"/>
      <c r="H610" s="9"/>
      <c r="I610" s="8"/>
      <c r="L610" s="9"/>
    </row>
    <row r="611">
      <c r="C611" s="9"/>
      <c r="D611" s="9"/>
      <c r="F611" s="8"/>
      <c r="G611" s="8"/>
      <c r="H611" s="9"/>
      <c r="I611" s="8"/>
      <c r="L611" s="9"/>
    </row>
    <row r="612">
      <c r="C612" s="9"/>
      <c r="D612" s="9"/>
      <c r="F612" s="8"/>
      <c r="G612" s="8"/>
      <c r="H612" s="9"/>
      <c r="I612" s="8"/>
      <c r="L612" s="9"/>
    </row>
    <row r="613">
      <c r="C613" s="9"/>
      <c r="D613" s="9"/>
      <c r="F613" s="8"/>
      <c r="G613" s="8"/>
      <c r="H613" s="9"/>
      <c r="I613" s="8"/>
      <c r="L613" s="9"/>
    </row>
    <row r="614">
      <c r="C614" s="9"/>
      <c r="D614" s="9"/>
      <c r="F614" s="8"/>
      <c r="G614" s="8"/>
      <c r="H614" s="9"/>
      <c r="I614" s="8"/>
      <c r="L614" s="9"/>
    </row>
    <row r="615">
      <c r="C615" s="9"/>
      <c r="D615" s="9"/>
      <c r="F615" s="8"/>
      <c r="G615" s="8"/>
      <c r="H615" s="9"/>
      <c r="I615" s="8"/>
      <c r="L615" s="9"/>
    </row>
    <row r="616">
      <c r="C616" s="9"/>
      <c r="D616" s="9"/>
      <c r="F616" s="8"/>
      <c r="G616" s="8"/>
      <c r="H616" s="9"/>
      <c r="I616" s="8"/>
      <c r="L616" s="9"/>
    </row>
    <row r="617">
      <c r="C617" s="9"/>
      <c r="D617" s="9"/>
      <c r="F617" s="8"/>
      <c r="G617" s="8"/>
      <c r="H617" s="9"/>
      <c r="I617" s="8"/>
      <c r="L617" s="9"/>
    </row>
    <row r="618">
      <c r="C618" s="9"/>
      <c r="D618" s="9"/>
      <c r="F618" s="8"/>
      <c r="G618" s="8"/>
      <c r="H618" s="9"/>
      <c r="I618" s="8"/>
      <c r="L618" s="9"/>
    </row>
    <row r="619">
      <c r="C619" s="9"/>
      <c r="D619" s="9"/>
      <c r="F619" s="8"/>
      <c r="G619" s="8"/>
      <c r="H619" s="9"/>
      <c r="I619" s="8"/>
      <c r="L619" s="9"/>
    </row>
    <row r="620">
      <c r="C620" s="9"/>
      <c r="D620" s="9"/>
      <c r="F620" s="8"/>
      <c r="G620" s="8"/>
      <c r="H620" s="9"/>
      <c r="I620" s="8"/>
      <c r="L620" s="9"/>
    </row>
    <row r="621">
      <c r="C621" s="9"/>
      <c r="D621" s="9"/>
      <c r="F621" s="8"/>
      <c r="G621" s="8"/>
      <c r="H621" s="9"/>
      <c r="I621" s="8"/>
      <c r="L621" s="9"/>
    </row>
    <row r="622">
      <c r="C622" s="9"/>
      <c r="D622" s="9"/>
      <c r="F622" s="8"/>
      <c r="G622" s="8"/>
      <c r="H622" s="9"/>
      <c r="I622" s="8"/>
      <c r="L622" s="9"/>
    </row>
    <row r="623">
      <c r="C623" s="9"/>
      <c r="D623" s="9"/>
      <c r="F623" s="8"/>
      <c r="G623" s="8"/>
      <c r="H623" s="9"/>
      <c r="I623" s="8"/>
      <c r="L623" s="9"/>
    </row>
    <row r="624">
      <c r="C624" s="9"/>
      <c r="D624" s="9"/>
      <c r="F624" s="8"/>
      <c r="G624" s="8"/>
      <c r="H624" s="9"/>
      <c r="I624" s="8"/>
      <c r="L624" s="9"/>
    </row>
    <row r="625">
      <c r="C625" s="9"/>
      <c r="D625" s="9"/>
      <c r="F625" s="8"/>
      <c r="G625" s="8"/>
      <c r="H625" s="9"/>
      <c r="I625" s="8"/>
      <c r="L625" s="9"/>
    </row>
    <row r="626">
      <c r="C626" s="9"/>
      <c r="D626" s="9"/>
      <c r="F626" s="8"/>
      <c r="G626" s="8"/>
      <c r="H626" s="9"/>
      <c r="I626" s="8"/>
      <c r="L626" s="9"/>
    </row>
    <row r="627">
      <c r="C627" s="9"/>
      <c r="D627" s="9"/>
      <c r="F627" s="8"/>
      <c r="G627" s="8"/>
      <c r="H627" s="9"/>
      <c r="I627" s="8"/>
      <c r="L627" s="9"/>
    </row>
    <row r="628">
      <c r="C628" s="9"/>
      <c r="D628" s="9"/>
      <c r="F628" s="8"/>
      <c r="G628" s="8"/>
      <c r="H628" s="9"/>
      <c r="I628" s="8"/>
      <c r="L628" s="9"/>
    </row>
    <row r="629">
      <c r="C629" s="9"/>
      <c r="D629" s="9"/>
      <c r="F629" s="8"/>
      <c r="G629" s="8"/>
      <c r="H629" s="9"/>
      <c r="I629" s="8"/>
      <c r="L629" s="9"/>
    </row>
    <row r="630">
      <c r="C630" s="9"/>
      <c r="D630" s="9"/>
      <c r="F630" s="8"/>
      <c r="G630" s="8"/>
      <c r="H630" s="9"/>
      <c r="I630" s="8"/>
      <c r="L630" s="9"/>
    </row>
    <row r="631">
      <c r="C631" s="9"/>
      <c r="D631" s="9"/>
      <c r="F631" s="8"/>
      <c r="G631" s="8"/>
      <c r="H631" s="9"/>
      <c r="I631" s="8"/>
      <c r="L631" s="9"/>
    </row>
    <row r="632">
      <c r="C632" s="9"/>
      <c r="D632" s="9"/>
      <c r="F632" s="8"/>
      <c r="G632" s="8"/>
      <c r="H632" s="9"/>
      <c r="I632" s="8"/>
      <c r="L632" s="9"/>
    </row>
    <row r="633">
      <c r="C633" s="9"/>
      <c r="D633" s="9"/>
      <c r="F633" s="8"/>
      <c r="G633" s="8"/>
      <c r="H633" s="9"/>
      <c r="I633" s="8"/>
      <c r="L633" s="9"/>
    </row>
    <row r="634">
      <c r="C634" s="9"/>
      <c r="D634" s="9"/>
      <c r="F634" s="8"/>
      <c r="G634" s="8"/>
      <c r="H634" s="9"/>
      <c r="I634" s="8"/>
      <c r="L634" s="9"/>
    </row>
    <row r="635">
      <c r="C635" s="9"/>
      <c r="D635" s="9"/>
      <c r="F635" s="8"/>
      <c r="G635" s="8"/>
      <c r="H635" s="9"/>
      <c r="I635" s="8"/>
      <c r="L635" s="9"/>
    </row>
    <row r="636">
      <c r="C636" s="9"/>
      <c r="D636" s="9"/>
      <c r="F636" s="8"/>
      <c r="G636" s="8"/>
      <c r="H636" s="9"/>
      <c r="I636" s="8"/>
      <c r="L636" s="9"/>
    </row>
    <row r="637">
      <c r="C637" s="9"/>
      <c r="D637" s="9"/>
      <c r="F637" s="8"/>
      <c r="G637" s="8"/>
      <c r="H637" s="9"/>
      <c r="I637" s="8"/>
      <c r="L637" s="9"/>
    </row>
    <row r="638">
      <c r="C638" s="9"/>
      <c r="D638" s="9"/>
      <c r="F638" s="8"/>
      <c r="G638" s="8"/>
      <c r="H638" s="9"/>
      <c r="I638" s="8"/>
      <c r="L638" s="9"/>
    </row>
    <row r="639">
      <c r="C639" s="9"/>
      <c r="D639" s="9"/>
      <c r="F639" s="8"/>
      <c r="G639" s="8"/>
      <c r="H639" s="9"/>
      <c r="I639" s="8"/>
      <c r="L639" s="9"/>
    </row>
    <row r="640">
      <c r="C640" s="9"/>
      <c r="D640" s="9"/>
      <c r="F640" s="8"/>
      <c r="G640" s="8"/>
      <c r="H640" s="9"/>
      <c r="I640" s="8"/>
      <c r="L640" s="9"/>
    </row>
    <row r="641">
      <c r="C641" s="9"/>
      <c r="D641" s="9"/>
      <c r="F641" s="8"/>
      <c r="G641" s="8"/>
      <c r="H641" s="9"/>
      <c r="I641" s="8"/>
      <c r="L641" s="9"/>
    </row>
    <row r="642">
      <c r="C642" s="9"/>
      <c r="D642" s="9"/>
      <c r="F642" s="8"/>
      <c r="G642" s="8"/>
      <c r="H642" s="9"/>
      <c r="I642" s="8"/>
      <c r="L642" s="9"/>
    </row>
    <row r="643">
      <c r="C643" s="9"/>
      <c r="D643" s="9"/>
      <c r="F643" s="8"/>
      <c r="G643" s="8"/>
      <c r="H643" s="9"/>
      <c r="I643" s="8"/>
      <c r="L643" s="9"/>
    </row>
    <row r="644">
      <c r="C644" s="9"/>
      <c r="D644" s="9"/>
      <c r="F644" s="8"/>
      <c r="G644" s="8"/>
      <c r="H644" s="9"/>
      <c r="I644" s="8"/>
      <c r="L644" s="9"/>
    </row>
    <row r="645">
      <c r="C645" s="9"/>
      <c r="D645" s="9"/>
      <c r="F645" s="8"/>
      <c r="G645" s="8"/>
      <c r="H645" s="9"/>
      <c r="I645" s="8"/>
      <c r="L645" s="9"/>
    </row>
    <row r="646">
      <c r="C646" s="9"/>
      <c r="D646" s="9"/>
      <c r="F646" s="8"/>
      <c r="G646" s="8"/>
      <c r="H646" s="9"/>
      <c r="I646" s="8"/>
      <c r="L646" s="9"/>
    </row>
    <row r="647">
      <c r="C647" s="9"/>
      <c r="D647" s="9"/>
      <c r="F647" s="8"/>
      <c r="G647" s="8"/>
      <c r="H647" s="9"/>
      <c r="I647" s="8"/>
      <c r="L647" s="9"/>
    </row>
    <row r="648">
      <c r="C648" s="9"/>
      <c r="D648" s="9"/>
      <c r="F648" s="8"/>
      <c r="G648" s="8"/>
      <c r="H648" s="9"/>
      <c r="I648" s="8"/>
      <c r="L648" s="9"/>
    </row>
    <row r="649">
      <c r="C649" s="9"/>
      <c r="D649" s="9"/>
      <c r="F649" s="8"/>
      <c r="G649" s="8"/>
      <c r="H649" s="9"/>
      <c r="I649" s="8"/>
      <c r="L649" s="9"/>
    </row>
    <row r="650">
      <c r="C650" s="9"/>
      <c r="D650" s="9"/>
      <c r="F650" s="8"/>
      <c r="G650" s="8"/>
      <c r="H650" s="9"/>
      <c r="I650" s="8"/>
      <c r="L650" s="9"/>
    </row>
    <row r="651">
      <c r="C651" s="9"/>
      <c r="D651" s="9"/>
      <c r="F651" s="8"/>
      <c r="G651" s="8"/>
      <c r="H651" s="9"/>
      <c r="I651" s="8"/>
      <c r="L651" s="9"/>
    </row>
    <row r="652">
      <c r="C652" s="9"/>
      <c r="D652" s="9"/>
      <c r="F652" s="8"/>
      <c r="G652" s="8"/>
      <c r="H652" s="9"/>
      <c r="I652" s="8"/>
      <c r="L652" s="9"/>
    </row>
    <row r="653">
      <c r="C653" s="9"/>
      <c r="D653" s="9"/>
      <c r="F653" s="8"/>
      <c r="G653" s="8"/>
      <c r="H653" s="9"/>
      <c r="I653" s="8"/>
      <c r="L653" s="9"/>
    </row>
    <row r="654">
      <c r="C654" s="9"/>
      <c r="D654" s="9"/>
      <c r="F654" s="8"/>
      <c r="G654" s="8"/>
      <c r="H654" s="9"/>
      <c r="I654" s="8"/>
      <c r="L654" s="9"/>
    </row>
    <row r="655">
      <c r="C655" s="9"/>
      <c r="D655" s="9"/>
      <c r="F655" s="8"/>
      <c r="G655" s="8"/>
      <c r="H655" s="9"/>
      <c r="I655" s="8"/>
      <c r="L655" s="9"/>
    </row>
    <row r="656">
      <c r="C656" s="9"/>
      <c r="D656" s="9"/>
      <c r="F656" s="8"/>
      <c r="G656" s="8"/>
      <c r="H656" s="9"/>
      <c r="I656" s="8"/>
      <c r="L656" s="9"/>
    </row>
    <row r="657">
      <c r="C657" s="9"/>
      <c r="D657" s="9"/>
      <c r="F657" s="8"/>
      <c r="G657" s="8"/>
      <c r="H657" s="9"/>
      <c r="I657" s="8"/>
      <c r="L657" s="9"/>
    </row>
    <row r="658">
      <c r="C658" s="9"/>
      <c r="D658" s="9"/>
      <c r="F658" s="8"/>
      <c r="G658" s="8"/>
      <c r="H658" s="9"/>
      <c r="I658" s="8"/>
      <c r="L658" s="9"/>
    </row>
    <row r="659">
      <c r="C659" s="9"/>
      <c r="D659" s="9"/>
      <c r="F659" s="8"/>
      <c r="G659" s="8"/>
      <c r="H659" s="9"/>
      <c r="I659" s="8"/>
      <c r="L659" s="9"/>
    </row>
    <row r="660">
      <c r="C660" s="9"/>
      <c r="D660" s="9"/>
      <c r="F660" s="8"/>
      <c r="G660" s="8"/>
      <c r="H660" s="9"/>
      <c r="I660" s="8"/>
      <c r="L660" s="9"/>
    </row>
    <row r="661">
      <c r="C661" s="9"/>
      <c r="D661" s="9"/>
      <c r="F661" s="8"/>
      <c r="G661" s="8"/>
      <c r="H661" s="9"/>
      <c r="I661" s="8"/>
      <c r="L661" s="9"/>
    </row>
    <row r="662">
      <c r="C662" s="9"/>
      <c r="D662" s="9"/>
      <c r="F662" s="8"/>
      <c r="G662" s="8"/>
      <c r="H662" s="9"/>
      <c r="I662" s="8"/>
      <c r="L662" s="9"/>
    </row>
    <row r="663">
      <c r="C663" s="9"/>
      <c r="D663" s="9"/>
      <c r="F663" s="8"/>
      <c r="G663" s="8"/>
      <c r="H663" s="9"/>
      <c r="I663" s="8"/>
      <c r="L663" s="9"/>
    </row>
    <row r="664">
      <c r="C664" s="9"/>
      <c r="D664" s="9"/>
      <c r="F664" s="8"/>
      <c r="G664" s="8"/>
      <c r="H664" s="9"/>
      <c r="I664" s="8"/>
      <c r="L664" s="9"/>
    </row>
    <row r="665">
      <c r="C665" s="9"/>
      <c r="D665" s="9"/>
      <c r="F665" s="8"/>
      <c r="G665" s="8"/>
      <c r="H665" s="9"/>
      <c r="I665" s="8"/>
      <c r="L665" s="9"/>
    </row>
    <row r="666">
      <c r="C666" s="9"/>
      <c r="D666" s="9"/>
      <c r="F666" s="8"/>
      <c r="G666" s="8"/>
      <c r="H666" s="9"/>
      <c r="I666" s="8"/>
      <c r="L666" s="9"/>
    </row>
    <row r="667">
      <c r="C667" s="9"/>
      <c r="D667" s="9"/>
      <c r="F667" s="8"/>
      <c r="G667" s="8"/>
      <c r="H667" s="9"/>
      <c r="I667" s="8"/>
      <c r="L667" s="9"/>
    </row>
    <row r="668">
      <c r="C668" s="9"/>
      <c r="D668" s="9"/>
      <c r="F668" s="8"/>
      <c r="G668" s="8"/>
      <c r="H668" s="9"/>
      <c r="I668" s="8"/>
      <c r="L668" s="9"/>
    </row>
    <row r="669">
      <c r="C669" s="9"/>
      <c r="D669" s="9"/>
      <c r="F669" s="8"/>
      <c r="G669" s="8"/>
      <c r="H669" s="9"/>
      <c r="I669" s="8"/>
      <c r="L669" s="9"/>
    </row>
    <row r="670">
      <c r="C670" s="9"/>
      <c r="D670" s="9"/>
      <c r="F670" s="8"/>
      <c r="G670" s="8"/>
      <c r="H670" s="9"/>
      <c r="I670" s="8"/>
      <c r="L670" s="9"/>
    </row>
    <row r="671">
      <c r="C671" s="9"/>
      <c r="D671" s="9"/>
      <c r="F671" s="8"/>
      <c r="G671" s="8"/>
      <c r="H671" s="9"/>
      <c r="I671" s="8"/>
      <c r="L671" s="9"/>
    </row>
    <row r="672">
      <c r="C672" s="9"/>
      <c r="D672" s="9"/>
      <c r="F672" s="8"/>
      <c r="G672" s="8"/>
      <c r="H672" s="9"/>
      <c r="I672" s="8"/>
      <c r="L672" s="9"/>
    </row>
    <row r="673">
      <c r="C673" s="9"/>
      <c r="D673" s="9"/>
      <c r="F673" s="8"/>
      <c r="G673" s="8"/>
      <c r="H673" s="9"/>
      <c r="I673" s="8"/>
      <c r="L673" s="9"/>
    </row>
    <row r="674">
      <c r="C674" s="9"/>
      <c r="D674" s="9"/>
      <c r="F674" s="8"/>
      <c r="G674" s="8"/>
      <c r="H674" s="9"/>
      <c r="I674" s="8"/>
      <c r="L674" s="9"/>
    </row>
    <row r="675">
      <c r="C675" s="9"/>
      <c r="D675" s="9"/>
      <c r="F675" s="8"/>
      <c r="G675" s="8"/>
      <c r="H675" s="9"/>
      <c r="I675" s="8"/>
      <c r="L675" s="9"/>
    </row>
    <row r="676">
      <c r="C676" s="9"/>
      <c r="D676" s="9"/>
      <c r="F676" s="8"/>
      <c r="G676" s="8"/>
      <c r="H676" s="9"/>
      <c r="I676" s="8"/>
      <c r="L676" s="9"/>
    </row>
    <row r="677">
      <c r="C677" s="9"/>
      <c r="D677" s="9"/>
      <c r="F677" s="8"/>
      <c r="G677" s="8"/>
      <c r="H677" s="9"/>
      <c r="I677" s="8"/>
      <c r="L677" s="9"/>
    </row>
    <row r="678">
      <c r="C678" s="9"/>
      <c r="D678" s="9"/>
      <c r="F678" s="8"/>
      <c r="G678" s="8"/>
      <c r="H678" s="9"/>
      <c r="I678" s="8"/>
      <c r="L678" s="9"/>
    </row>
    <row r="679">
      <c r="C679" s="9"/>
      <c r="D679" s="9"/>
      <c r="F679" s="8"/>
      <c r="G679" s="8"/>
      <c r="H679" s="9"/>
      <c r="I679" s="8"/>
      <c r="L679" s="9"/>
    </row>
    <row r="680">
      <c r="C680" s="9"/>
      <c r="D680" s="9"/>
      <c r="F680" s="8"/>
      <c r="G680" s="8"/>
      <c r="H680" s="9"/>
      <c r="I680" s="8"/>
      <c r="L680" s="9"/>
    </row>
    <row r="681">
      <c r="C681" s="9"/>
      <c r="D681" s="9"/>
      <c r="F681" s="8"/>
      <c r="G681" s="8"/>
      <c r="H681" s="9"/>
      <c r="I681" s="8"/>
      <c r="L681" s="9"/>
    </row>
    <row r="682">
      <c r="C682" s="9"/>
      <c r="D682" s="9"/>
      <c r="F682" s="8"/>
      <c r="G682" s="8"/>
      <c r="H682" s="9"/>
      <c r="I682" s="8"/>
      <c r="L682" s="9"/>
    </row>
    <row r="683">
      <c r="C683" s="9"/>
      <c r="D683" s="9"/>
      <c r="F683" s="8"/>
      <c r="G683" s="8"/>
      <c r="H683" s="9"/>
      <c r="I683" s="8"/>
      <c r="L683" s="9"/>
    </row>
    <row r="684">
      <c r="C684" s="9"/>
      <c r="D684" s="9"/>
      <c r="F684" s="8"/>
      <c r="G684" s="8"/>
      <c r="H684" s="9"/>
      <c r="I684" s="8"/>
      <c r="L684" s="9"/>
    </row>
    <row r="685">
      <c r="C685" s="9"/>
      <c r="D685" s="9"/>
      <c r="F685" s="8"/>
      <c r="G685" s="8"/>
      <c r="H685" s="9"/>
      <c r="I685" s="8"/>
      <c r="L685" s="9"/>
    </row>
    <row r="686">
      <c r="C686" s="9"/>
      <c r="D686" s="9"/>
      <c r="F686" s="8"/>
      <c r="G686" s="8"/>
      <c r="H686" s="9"/>
      <c r="I686" s="8"/>
      <c r="L686" s="9"/>
    </row>
    <row r="687">
      <c r="C687" s="9"/>
      <c r="D687" s="9"/>
      <c r="F687" s="8"/>
      <c r="G687" s="8"/>
      <c r="H687" s="9"/>
      <c r="I687" s="8"/>
      <c r="L687" s="9"/>
    </row>
    <row r="688">
      <c r="C688" s="9"/>
      <c r="D688" s="9"/>
      <c r="F688" s="8"/>
      <c r="G688" s="8"/>
      <c r="H688" s="9"/>
      <c r="I688" s="8"/>
      <c r="L688" s="9"/>
    </row>
    <row r="689">
      <c r="C689" s="9"/>
      <c r="D689" s="9"/>
      <c r="F689" s="8"/>
      <c r="G689" s="8"/>
      <c r="H689" s="9"/>
      <c r="I689" s="8"/>
      <c r="L689" s="9"/>
    </row>
    <row r="690">
      <c r="C690" s="9"/>
      <c r="D690" s="9"/>
      <c r="F690" s="8"/>
      <c r="G690" s="8"/>
      <c r="H690" s="9"/>
      <c r="I690" s="8"/>
      <c r="L690" s="9"/>
    </row>
    <row r="691">
      <c r="C691" s="9"/>
      <c r="D691" s="9"/>
      <c r="F691" s="8"/>
      <c r="G691" s="8"/>
      <c r="H691" s="9"/>
      <c r="I691" s="8"/>
      <c r="L691" s="9"/>
    </row>
    <row r="692">
      <c r="C692" s="9"/>
      <c r="D692" s="9"/>
      <c r="F692" s="8"/>
      <c r="G692" s="8"/>
      <c r="H692" s="9"/>
      <c r="I692" s="8"/>
      <c r="L692" s="9"/>
    </row>
    <row r="693">
      <c r="C693" s="9"/>
      <c r="D693" s="9"/>
      <c r="F693" s="8"/>
      <c r="G693" s="8"/>
      <c r="H693" s="9"/>
      <c r="I693" s="8"/>
      <c r="L693" s="9"/>
    </row>
    <row r="694">
      <c r="C694" s="9"/>
      <c r="D694" s="9"/>
      <c r="F694" s="8"/>
      <c r="G694" s="8"/>
      <c r="H694" s="9"/>
      <c r="I694" s="8"/>
      <c r="L694" s="9"/>
    </row>
    <row r="695">
      <c r="C695" s="9"/>
      <c r="D695" s="9"/>
      <c r="F695" s="8"/>
      <c r="G695" s="8"/>
      <c r="H695" s="9"/>
      <c r="I695" s="8"/>
      <c r="L695" s="9"/>
    </row>
    <row r="696">
      <c r="C696" s="9"/>
      <c r="D696" s="9"/>
      <c r="F696" s="8"/>
      <c r="G696" s="8"/>
      <c r="H696" s="9"/>
      <c r="I696" s="8"/>
      <c r="L696" s="9"/>
    </row>
    <row r="697">
      <c r="C697" s="9"/>
      <c r="D697" s="9"/>
      <c r="F697" s="8"/>
      <c r="G697" s="8"/>
      <c r="H697" s="9"/>
      <c r="I697" s="8"/>
      <c r="L697" s="9"/>
    </row>
    <row r="698">
      <c r="C698" s="9"/>
      <c r="D698" s="9"/>
      <c r="F698" s="8"/>
      <c r="G698" s="8"/>
      <c r="H698" s="9"/>
      <c r="I698" s="8"/>
      <c r="L698" s="9"/>
    </row>
    <row r="699">
      <c r="C699" s="9"/>
      <c r="D699" s="9"/>
      <c r="F699" s="8"/>
      <c r="G699" s="8"/>
      <c r="H699" s="9"/>
      <c r="I699" s="8"/>
      <c r="L699" s="9"/>
    </row>
    <row r="700">
      <c r="C700" s="9"/>
      <c r="D700" s="9"/>
      <c r="F700" s="8"/>
      <c r="G700" s="8"/>
      <c r="H700" s="9"/>
      <c r="I700" s="8"/>
      <c r="L700" s="9"/>
    </row>
    <row r="701">
      <c r="C701" s="9"/>
      <c r="D701" s="9"/>
      <c r="F701" s="8"/>
      <c r="G701" s="8"/>
      <c r="H701" s="9"/>
      <c r="I701" s="8"/>
      <c r="L701" s="9"/>
    </row>
    <row r="702">
      <c r="C702" s="9"/>
      <c r="D702" s="9"/>
      <c r="F702" s="8"/>
      <c r="G702" s="8"/>
      <c r="H702" s="9"/>
      <c r="I702" s="8"/>
      <c r="L702" s="9"/>
    </row>
    <row r="703">
      <c r="C703" s="9"/>
      <c r="D703" s="9"/>
      <c r="F703" s="8"/>
      <c r="G703" s="8"/>
      <c r="H703" s="9"/>
      <c r="I703" s="8"/>
      <c r="L703" s="9"/>
    </row>
    <row r="704">
      <c r="C704" s="9"/>
      <c r="D704" s="9"/>
      <c r="F704" s="8"/>
      <c r="G704" s="8"/>
      <c r="H704" s="9"/>
      <c r="I704" s="8"/>
      <c r="L704" s="9"/>
    </row>
    <row r="705">
      <c r="C705" s="9"/>
      <c r="D705" s="9"/>
      <c r="F705" s="8"/>
      <c r="G705" s="8"/>
      <c r="H705" s="9"/>
      <c r="I705" s="8"/>
      <c r="L705" s="9"/>
    </row>
    <row r="706">
      <c r="C706" s="9"/>
      <c r="D706" s="9"/>
      <c r="F706" s="8"/>
      <c r="G706" s="8"/>
      <c r="H706" s="9"/>
      <c r="I706" s="8"/>
      <c r="L706" s="9"/>
    </row>
    <row r="707">
      <c r="C707" s="9"/>
      <c r="D707" s="9"/>
      <c r="F707" s="8"/>
      <c r="G707" s="8"/>
      <c r="H707" s="9"/>
      <c r="I707" s="8"/>
      <c r="L707" s="9"/>
    </row>
    <row r="708">
      <c r="C708" s="9"/>
      <c r="D708" s="9"/>
      <c r="F708" s="8"/>
      <c r="G708" s="8"/>
      <c r="H708" s="9"/>
      <c r="I708" s="8"/>
      <c r="L708" s="9"/>
    </row>
    <row r="709">
      <c r="C709" s="9"/>
      <c r="D709" s="9"/>
      <c r="F709" s="8"/>
      <c r="G709" s="8"/>
      <c r="H709" s="9"/>
      <c r="I709" s="8"/>
      <c r="L709" s="9"/>
    </row>
    <row r="710">
      <c r="C710" s="9"/>
      <c r="D710" s="9"/>
      <c r="F710" s="8"/>
      <c r="G710" s="8"/>
      <c r="H710" s="9"/>
      <c r="I710" s="8"/>
      <c r="L710" s="9"/>
    </row>
    <row r="711">
      <c r="C711" s="9"/>
      <c r="D711" s="9"/>
      <c r="F711" s="8"/>
      <c r="G711" s="8"/>
      <c r="H711" s="9"/>
      <c r="I711" s="8"/>
      <c r="L711" s="9"/>
    </row>
    <row r="712">
      <c r="C712" s="9"/>
      <c r="D712" s="9"/>
      <c r="F712" s="8"/>
      <c r="G712" s="8"/>
      <c r="H712" s="9"/>
      <c r="I712" s="8"/>
      <c r="L712" s="9"/>
    </row>
    <row r="713">
      <c r="C713" s="9"/>
      <c r="D713" s="9"/>
      <c r="F713" s="8"/>
      <c r="G713" s="8"/>
      <c r="H713" s="9"/>
      <c r="I713" s="8"/>
      <c r="L713" s="9"/>
    </row>
    <row r="714">
      <c r="C714" s="9"/>
      <c r="D714" s="9"/>
      <c r="F714" s="8"/>
      <c r="G714" s="8"/>
      <c r="H714" s="9"/>
      <c r="I714" s="8"/>
      <c r="L714" s="9"/>
    </row>
    <row r="715">
      <c r="C715" s="9"/>
      <c r="D715" s="9"/>
      <c r="F715" s="8"/>
      <c r="G715" s="8"/>
      <c r="H715" s="9"/>
      <c r="I715" s="8"/>
      <c r="L715" s="9"/>
    </row>
    <row r="716">
      <c r="C716" s="9"/>
      <c r="D716" s="9"/>
      <c r="F716" s="8"/>
      <c r="G716" s="8"/>
      <c r="H716" s="9"/>
      <c r="I716" s="8"/>
      <c r="L716" s="9"/>
    </row>
    <row r="717">
      <c r="C717" s="9"/>
      <c r="D717" s="9"/>
      <c r="F717" s="8"/>
      <c r="G717" s="8"/>
      <c r="H717" s="9"/>
      <c r="I717" s="8"/>
      <c r="L717" s="9"/>
    </row>
    <row r="718">
      <c r="C718" s="9"/>
      <c r="D718" s="9"/>
      <c r="F718" s="8"/>
      <c r="G718" s="8"/>
      <c r="H718" s="9"/>
      <c r="I718" s="8"/>
      <c r="L718" s="9"/>
    </row>
    <row r="719">
      <c r="C719" s="9"/>
      <c r="D719" s="9"/>
      <c r="F719" s="8"/>
      <c r="G719" s="8"/>
      <c r="H719" s="9"/>
      <c r="I719" s="8"/>
      <c r="L719" s="9"/>
    </row>
    <row r="720">
      <c r="C720" s="9"/>
      <c r="D720" s="9"/>
      <c r="F720" s="8"/>
      <c r="G720" s="8"/>
      <c r="H720" s="9"/>
      <c r="I720" s="8"/>
      <c r="L720" s="9"/>
    </row>
    <row r="721">
      <c r="C721" s="9"/>
      <c r="D721" s="9"/>
      <c r="F721" s="8"/>
      <c r="G721" s="8"/>
      <c r="H721" s="9"/>
      <c r="I721" s="8"/>
      <c r="L721" s="9"/>
    </row>
    <row r="722">
      <c r="C722" s="9"/>
      <c r="D722" s="9"/>
      <c r="F722" s="8"/>
      <c r="G722" s="8"/>
      <c r="H722" s="9"/>
      <c r="I722" s="8"/>
      <c r="L722" s="9"/>
    </row>
    <row r="723">
      <c r="C723" s="9"/>
      <c r="D723" s="9"/>
      <c r="F723" s="8"/>
      <c r="G723" s="8"/>
      <c r="H723" s="9"/>
      <c r="I723" s="8"/>
      <c r="L723" s="9"/>
    </row>
    <row r="724">
      <c r="C724" s="9"/>
      <c r="D724" s="9"/>
      <c r="F724" s="8"/>
      <c r="G724" s="8"/>
      <c r="H724" s="9"/>
      <c r="I724" s="8"/>
      <c r="L724" s="9"/>
    </row>
    <row r="725">
      <c r="C725" s="9"/>
      <c r="D725" s="9"/>
      <c r="F725" s="8"/>
      <c r="G725" s="8"/>
      <c r="H725" s="9"/>
      <c r="I725" s="8"/>
      <c r="L725" s="9"/>
    </row>
    <row r="726">
      <c r="C726" s="9"/>
      <c r="D726" s="9"/>
      <c r="F726" s="8"/>
      <c r="G726" s="8"/>
      <c r="H726" s="9"/>
      <c r="I726" s="8"/>
      <c r="L726" s="9"/>
    </row>
    <row r="727">
      <c r="C727" s="9"/>
      <c r="D727" s="9"/>
      <c r="F727" s="8"/>
      <c r="G727" s="8"/>
      <c r="H727" s="9"/>
      <c r="I727" s="8"/>
      <c r="L727" s="9"/>
    </row>
    <row r="728">
      <c r="C728" s="9"/>
      <c r="D728" s="9"/>
      <c r="F728" s="8"/>
      <c r="G728" s="8"/>
      <c r="H728" s="9"/>
      <c r="I728" s="8"/>
      <c r="L728" s="9"/>
    </row>
    <row r="729">
      <c r="C729" s="9"/>
      <c r="D729" s="9"/>
      <c r="F729" s="8"/>
      <c r="G729" s="8"/>
      <c r="H729" s="9"/>
      <c r="I729" s="8"/>
      <c r="L729" s="9"/>
    </row>
    <row r="730">
      <c r="C730" s="9"/>
      <c r="D730" s="9"/>
      <c r="F730" s="8"/>
      <c r="G730" s="8"/>
      <c r="H730" s="9"/>
      <c r="I730" s="8"/>
      <c r="L730" s="9"/>
    </row>
    <row r="731">
      <c r="C731" s="9"/>
      <c r="D731" s="9"/>
      <c r="F731" s="8"/>
      <c r="G731" s="8"/>
      <c r="H731" s="9"/>
      <c r="I731" s="8"/>
      <c r="L731" s="9"/>
    </row>
    <row r="732">
      <c r="C732" s="9"/>
      <c r="D732" s="9"/>
      <c r="F732" s="8"/>
      <c r="G732" s="8"/>
      <c r="H732" s="9"/>
      <c r="I732" s="8"/>
      <c r="L732" s="9"/>
    </row>
    <row r="733">
      <c r="C733" s="9"/>
      <c r="D733" s="9"/>
      <c r="F733" s="8"/>
      <c r="G733" s="8"/>
      <c r="H733" s="9"/>
      <c r="I733" s="8"/>
      <c r="L733" s="9"/>
    </row>
    <row r="734">
      <c r="C734" s="9"/>
      <c r="D734" s="9"/>
      <c r="F734" s="8"/>
      <c r="G734" s="8"/>
      <c r="H734" s="9"/>
      <c r="I734" s="8"/>
      <c r="L734" s="9"/>
    </row>
    <row r="735">
      <c r="C735" s="9"/>
      <c r="D735" s="9"/>
      <c r="F735" s="8"/>
      <c r="G735" s="8"/>
      <c r="H735" s="9"/>
      <c r="I735" s="8"/>
      <c r="L735" s="9"/>
    </row>
    <row r="736">
      <c r="C736" s="9"/>
      <c r="D736" s="9"/>
      <c r="F736" s="8"/>
      <c r="G736" s="8"/>
      <c r="H736" s="9"/>
      <c r="I736" s="8"/>
      <c r="L736" s="9"/>
    </row>
    <row r="737">
      <c r="C737" s="9"/>
      <c r="D737" s="9"/>
      <c r="F737" s="8"/>
      <c r="G737" s="8"/>
      <c r="H737" s="9"/>
      <c r="I737" s="8"/>
      <c r="L737" s="9"/>
    </row>
    <row r="738">
      <c r="C738" s="9"/>
      <c r="D738" s="9"/>
      <c r="F738" s="8"/>
      <c r="G738" s="8"/>
      <c r="H738" s="9"/>
      <c r="I738" s="8"/>
      <c r="L738" s="9"/>
    </row>
    <row r="739">
      <c r="C739" s="9"/>
      <c r="D739" s="9"/>
      <c r="F739" s="8"/>
      <c r="G739" s="8"/>
      <c r="H739" s="9"/>
      <c r="I739" s="8"/>
      <c r="L739" s="9"/>
    </row>
    <row r="740">
      <c r="C740" s="9"/>
      <c r="D740" s="9"/>
      <c r="F740" s="8"/>
      <c r="G740" s="8"/>
      <c r="H740" s="9"/>
      <c r="I740" s="8"/>
      <c r="L740" s="9"/>
    </row>
    <row r="741">
      <c r="C741" s="9"/>
      <c r="D741" s="9"/>
      <c r="F741" s="8"/>
      <c r="G741" s="8"/>
      <c r="H741" s="9"/>
      <c r="I741" s="8"/>
      <c r="L741" s="9"/>
    </row>
    <row r="742">
      <c r="C742" s="9"/>
      <c r="D742" s="9"/>
      <c r="F742" s="8"/>
      <c r="G742" s="8"/>
      <c r="H742" s="9"/>
      <c r="I742" s="8"/>
      <c r="L742" s="9"/>
    </row>
    <row r="743">
      <c r="C743" s="9"/>
      <c r="D743" s="9"/>
      <c r="F743" s="8"/>
      <c r="G743" s="8"/>
      <c r="H743" s="9"/>
      <c r="I743" s="8"/>
      <c r="L743" s="9"/>
    </row>
    <row r="744">
      <c r="C744" s="9"/>
      <c r="D744" s="9"/>
      <c r="F744" s="8"/>
      <c r="G744" s="8"/>
      <c r="H744" s="9"/>
      <c r="I744" s="8"/>
      <c r="L744" s="9"/>
    </row>
    <row r="745">
      <c r="C745" s="9"/>
      <c r="D745" s="9"/>
      <c r="F745" s="8"/>
      <c r="G745" s="8"/>
      <c r="H745" s="9"/>
      <c r="I745" s="8"/>
      <c r="L745" s="9"/>
    </row>
    <row r="746">
      <c r="C746" s="9"/>
      <c r="D746" s="9"/>
      <c r="F746" s="8"/>
      <c r="G746" s="8"/>
      <c r="H746" s="9"/>
      <c r="I746" s="8"/>
      <c r="L746" s="9"/>
    </row>
    <row r="747">
      <c r="C747" s="9"/>
      <c r="D747" s="9"/>
      <c r="F747" s="8"/>
      <c r="G747" s="8"/>
      <c r="H747" s="9"/>
      <c r="I747" s="8"/>
      <c r="L747" s="9"/>
    </row>
    <row r="748">
      <c r="C748" s="9"/>
      <c r="D748" s="9"/>
      <c r="F748" s="8"/>
      <c r="G748" s="8"/>
      <c r="H748" s="9"/>
      <c r="I748" s="8"/>
      <c r="L748" s="9"/>
    </row>
    <row r="749">
      <c r="C749" s="9"/>
      <c r="D749" s="9"/>
      <c r="F749" s="8"/>
      <c r="G749" s="8"/>
      <c r="H749" s="9"/>
      <c r="I749" s="8"/>
      <c r="L749" s="9"/>
    </row>
    <row r="750">
      <c r="C750" s="9"/>
      <c r="D750" s="9"/>
      <c r="F750" s="8"/>
      <c r="G750" s="8"/>
      <c r="H750" s="9"/>
      <c r="I750" s="8"/>
      <c r="L750" s="9"/>
    </row>
    <row r="751">
      <c r="C751" s="9"/>
      <c r="D751" s="9"/>
      <c r="F751" s="8"/>
      <c r="G751" s="8"/>
      <c r="H751" s="9"/>
      <c r="I751" s="8"/>
      <c r="L751" s="9"/>
    </row>
    <row r="752">
      <c r="C752" s="9"/>
      <c r="D752" s="9"/>
      <c r="F752" s="8"/>
      <c r="G752" s="8"/>
      <c r="H752" s="9"/>
      <c r="I752" s="8"/>
      <c r="L752" s="9"/>
    </row>
    <row r="753">
      <c r="C753" s="9"/>
      <c r="D753" s="9"/>
      <c r="F753" s="8"/>
      <c r="G753" s="8"/>
      <c r="H753" s="9"/>
      <c r="I753" s="8"/>
      <c r="L753" s="9"/>
    </row>
    <row r="754">
      <c r="C754" s="9"/>
      <c r="D754" s="9"/>
      <c r="F754" s="8"/>
      <c r="G754" s="8"/>
      <c r="H754" s="9"/>
      <c r="I754" s="8"/>
      <c r="L754" s="9"/>
    </row>
    <row r="755">
      <c r="C755" s="9"/>
      <c r="D755" s="9"/>
      <c r="F755" s="8"/>
      <c r="G755" s="8"/>
      <c r="H755" s="9"/>
      <c r="I755" s="8"/>
      <c r="L755" s="9"/>
    </row>
    <row r="756">
      <c r="C756" s="9"/>
      <c r="D756" s="9"/>
      <c r="F756" s="8"/>
      <c r="G756" s="8"/>
      <c r="H756" s="9"/>
      <c r="I756" s="8"/>
      <c r="L756" s="9"/>
    </row>
    <row r="757">
      <c r="C757" s="9"/>
      <c r="D757" s="9"/>
      <c r="F757" s="8"/>
      <c r="G757" s="8"/>
      <c r="H757" s="9"/>
      <c r="I757" s="8"/>
      <c r="L757" s="9"/>
    </row>
    <row r="758">
      <c r="C758" s="9"/>
      <c r="D758" s="9"/>
      <c r="F758" s="8"/>
      <c r="G758" s="8"/>
      <c r="H758" s="9"/>
      <c r="I758" s="8"/>
      <c r="L758" s="9"/>
    </row>
    <row r="759">
      <c r="C759" s="9"/>
      <c r="D759" s="9"/>
      <c r="F759" s="8"/>
      <c r="G759" s="8"/>
      <c r="H759" s="9"/>
      <c r="I759" s="8"/>
      <c r="L759" s="9"/>
    </row>
    <row r="760">
      <c r="C760" s="9"/>
      <c r="D760" s="9"/>
      <c r="F760" s="8"/>
      <c r="G760" s="8"/>
      <c r="H760" s="9"/>
      <c r="I760" s="8"/>
      <c r="L760" s="9"/>
    </row>
    <row r="761">
      <c r="C761" s="9"/>
      <c r="D761" s="9"/>
      <c r="F761" s="8"/>
      <c r="G761" s="8"/>
      <c r="H761" s="9"/>
      <c r="I761" s="8"/>
      <c r="L761" s="9"/>
    </row>
    <row r="762">
      <c r="C762" s="9"/>
      <c r="D762" s="9"/>
      <c r="F762" s="8"/>
      <c r="G762" s="8"/>
      <c r="H762" s="9"/>
      <c r="I762" s="8"/>
      <c r="L762" s="9"/>
    </row>
    <row r="763">
      <c r="C763" s="9"/>
      <c r="D763" s="9"/>
      <c r="F763" s="8"/>
      <c r="G763" s="8"/>
      <c r="H763" s="9"/>
      <c r="I763" s="8"/>
      <c r="L763" s="9"/>
    </row>
    <row r="764">
      <c r="C764" s="9"/>
      <c r="D764" s="9"/>
      <c r="F764" s="8"/>
      <c r="G764" s="8"/>
      <c r="H764" s="9"/>
      <c r="I764" s="8"/>
      <c r="L764" s="9"/>
    </row>
    <row r="765">
      <c r="C765" s="9"/>
      <c r="D765" s="9"/>
      <c r="F765" s="8"/>
      <c r="G765" s="8"/>
      <c r="H765" s="9"/>
      <c r="I765" s="8"/>
      <c r="L765" s="9"/>
    </row>
    <row r="766">
      <c r="C766" s="9"/>
      <c r="D766" s="9"/>
      <c r="F766" s="8"/>
      <c r="G766" s="8"/>
      <c r="H766" s="9"/>
      <c r="I766" s="8"/>
      <c r="L766" s="9"/>
    </row>
    <row r="767">
      <c r="C767" s="9"/>
      <c r="D767" s="9"/>
      <c r="F767" s="8"/>
      <c r="G767" s="8"/>
      <c r="H767" s="9"/>
      <c r="I767" s="8"/>
      <c r="L767" s="9"/>
    </row>
    <row r="768">
      <c r="C768" s="9"/>
      <c r="D768" s="9"/>
      <c r="F768" s="8"/>
      <c r="G768" s="8"/>
      <c r="H768" s="9"/>
      <c r="I768" s="8"/>
      <c r="L768" s="9"/>
    </row>
    <row r="769">
      <c r="C769" s="9"/>
      <c r="D769" s="9"/>
      <c r="F769" s="8"/>
      <c r="G769" s="8"/>
      <c r="H769" s="9"/>
      <c r="I769" s="8"/>
      <c r="L769" s="9"/>
    </row>
    <row r="770">
      <c r="C770" s="9"/>
      <c r="D770" s="9"/>
      <c r="F770" s="8"/>
      <c r="G770" s="8"/>
      <c r="H770" s="9"/>
      <c r="I770" s="8"/>
      <c r="L770" s="9"/>
    </row>
    <row r="771">
      <c r="C771" s="9"/>
      <c r="D771" s="9"/>
      <c r="F771" s="8"/>
      <c r="G771" s="8"/>
      <c r="H771" s="9"/>
      <c r="I771" s="8"/>
      <c r="L771" s="9"/>
    </row>
    <row r="772">
      <c r="C772" s="9"/>
      <c r="D772" s="9"/>
      <c r="F772" s="8"/>
      <c r="G772" s="8"/>
      <c r="H772" s="9"/>
      <c r="I772" s="8"/>
      <c r="L772" s="9"/>
    </row>
    <row r="773">
      <c r="C773" s="9"/>
      <c r="D773" s="9"/>
      <c r="F773" s="8"/>
      <c r="G773" s="8"/>
      <c r="H773" s="9"/>
      <c r="I773" s="8"/>
      <c r="L773" s="9"/>
    </row>
    <row r="774">
      <c r="C774" s="9"/>
      <c r="D774" s="9"/>
      <c r="F774" s="8"/>
      <c r="G774" s="8"/>
      <c r="H774" s="9"/>
      <c r="I774" s="8"/>
      <c r="L774" s="9"/>
    </row>
    <row r="775">
      <c r="C775" s="9"/>
      <c r="D775" s="9"/>
      <c r="F775" s="8"/>
      <c r="G775" s="8"/>
      <c r="H775" s="9"/>
      <c r="I775" s="8"/>
      <c r="L775" s="9"/>
    </row>
    <row r="776">
      <c r="C776" s="9"/>
      <c r="D776" s="9"/>
      <c r="F776" s="8"/>
      <c r="G776" s="8"/>
      <c r="H776" s="9"/>
      <c r="I776" s="8"/>
      <c r="L776" s="9"/>
    </row>
    <row r="777">
      <c r="C777" s="9"/>
      <c r="D777" s="9"/>
      <c r="F777" s="8"/>
      <c r="G777" s="8"/>
      <c r="H777" s="9"/>
      <c r="I777" s="8"/>
      <c r="L777" s="9"/>
    </row>
    <row r="778">
      <c r="C778" s="9"/>
      <c r="D778" s="9"/>
      <c r="F778" s="8"/>
      <c r="G778" s="8"/>
      <c r="H778" s="9"/>
      <c r="I778" s="8"/>
      <c r="L778" s="9"/>
    </row>
    <row r="779">
      <c r="C779" s="9"/>
      <c r="D779" s="9"/>
      <c r="F779" s="8"/>
      <c r="G779" s="8"/>
      <c r="H779" s="9"/>
      <c r="I779" s="8"/>
      <c r="L779" s="9"/>
    </row>
    <row r="780">
      <c r="C780" s="9"/>
      <c r="D780" s="9"/>
      <c r="F780" s="8"/>
      <c r="G780" s="8"/>
      <c r="H780" s="9"/>
      <c r="I780" s="8"/>
      <c r="L780" s="9"/>
    </row>
    <row r="781">
      <c r="C781" s="9"/>
      <c r="D781" s="9"/>
      <c r="F781" s="8"/>
      <c r="G781" s="8"/>
      <c r="H781" s="9"/>
      <c r="I781" s="8"/>
      <c r="L781" s="9"/>
    </row>
    <row r="782">
      <c r="C782" s="9"/>
      <c r="D782" s="9"/>
      <c r="F782" s="8"/>
      <c r="G782" s="8"/>
      <c r="H782" s="9"/>
      <c r="I782" s="8"/>
      <c r="L782" s="9"/>
    </row>
    <row r="783">
      <c r="C783" s="9"/>
      <c r="D783" s="9"/>
      <c r="F783" s="8"/>
      <c r="G783" s="8"/>
      <c r="H783" s="9"/>
      <c r="I783" s="8"/>
      <c r="L783" s="9"/>
    </row>
    <row r="784">
      <c r="C784" s="9"/>
      <c r="D784" s="9"/>
      <c r="F784" s="8"/>
      <c r="G784" s="8"/>
      <c r="H784" s="9"/>
      <c r="I784" s="8"/>
      <c r="L784" s="9"/>
    </row>
    <row r="785">
      <c r="C785" s="9"/>
      <c r="D785" s="9"/>
      <c r="F785" s="8"/>
      <c r="G785" s="8"/>
      <c r="H785" s="9"/>
      <c r="I785" s="8"/>
      <c r="L785" s="9"/>
    </row>
    <row r="786">
      <c r="C786" s="9"/>
      <c r="D786" s="9"/>
      <c r="F786" s="8"/>
      <c r="G786" s="8"/>
      <c r="H786" s="9"/>
      <c r="I786" s="8"/>
      <c r="L786" s="9"/>
    </row>
    <row r="787">
      <c r="C787" s="9"/>
      <c r="D787" s="9"/>
      <c r="F787" s="8"/>
      <c r="G787" s="8"/>
      <c r="H787" s="9"/>
      <c r="I787" s="8"/>
      <c r="L787" s="9"/>
    </row>
    <row r="788">
      <c r="C788" s="9"/>
      <c r="D788" s="9"/>
      <c r="F788" s="8"/>
      <c r="G788" s="8"/>
      <c r="H788" s="9"/>
      <c r="I788" s="8"/>
      <c r="L788" s="9"/>
    </row>
    <row r="789">
      <c r="C789" s="9"/>
      <c r="D789" s="9"/>
      <c r="F789" s="8"/>
      <c r="G789" s="8"/>
      <c r="H789" s="9"/>
      <c r="I789" s="8"/>
      <c r="L789" s="9"/>
    </row>
    <row r="790">
      <c r="C790" s="9"/>
      <c r="D790" s="9"/>
      <c r="F790" s="8"/>
      <c r="G790" s="8"/>
      <c r="H790" s="9"/>
      <c r="I790" s="8"/>
      <c r="L790" s="9"/>
    </row>
    <row r="791">
      <c r="C791" s="9"/>
      <c r="D791" s="9"/>
      <c r="F791" s="8"/>
      <c r="G791" s="8"/>
      <c r="H791" s="9"/>
      <c r="I791" s="8"/>
      <c r="L791" s="9"/>
    </row>
    <row r="792">
      <c r="C792" s="9"/>
      <c r="D792" s="9"/>
      <c r="F792" s="8"/>
      <c r="G792" s="8"/>
      <c r="H792" s="9"/>
      <c r="I792" s="8"/>
      <c r="L792" s="9"/>
    </row>
    <row r="793">
      <c r="C793" s="9"/>
      <c r="D793" s="9"/>
      <c r="F793" s="8"/>
      <c r="G793" s="8"/>
      <c r="H793" s="9"/>
      <c r="I793" s="8"/>
      <c r="L793" s="9"/>
    </row>
    <row r="794">
      <c r="C794" s="9"/>
      <c r="D794" s="9"/>
      <c r="F794" s="8"/>
      <c r="G794" s="8"/>
      <c r="H794" s="9"/>
      <c r="I794" s="8"/>
      <c r="L794" s="9"/>
    </row>
    <row r="795">
      <c r="C795" s="9"/>
      <c r="D795" s="9"/>
      <c r="F795" s="8"/>
      <c r="G795" s="8"/>
      <c r="H795" s="9"/>
      <c r="I795" s="8"/>
      <c r="L795" s="9"/>
    </row>
    <row r="796">
      <c r="C796" s="9"/>
      <c r="D796" s="9"/>
      <c r="F796" s="8"/>
      <c r="G796" s="8"/>
      <c r="H796" s="9"/>
      <c r="I796" s="8"/>
      <c r="L796" s="9"/>
    </row>
    <row r="797">
      <c r="C797" s="9"/>
      <c r="D797" s="9"/>
      <c r="F797" s="8"/>
      <c r="G797" s="8"/>
      <c r="H797" s="9"/>
      <c r="I797" s="8"/>
      <c r="L797" s="9"/>
    </row>
    <row r="798">
      <c r="C798" s="9"/>
      <c r="D798" s="9"/>
      <c r="F798" s="8"/>
      <c r="G798" s="8"/>
      <c r="H798" s="9"/>
      <c r="I798" s="8"/>
      <c r="L798" s="9"/>
    </row>
    <row r="799">
      <c r="C799" s="9"/>
      <c r="D799" s="9"/>
      <c r="F799" s="8"/>
      <c r="G799" s="8"/>
      <c r="H799" s="9"/>
      <c r="I799" s="8"/>
      <c r="L799" s="9"/>
    </row>
    <row r="800">
      <c r="C800" s="9"/>
      <c r="D800" s="9"/>
      <c r="F800" s="8"/>
      <c r="G800" s="8"/>
      <c r="H800" s="9"/>
      <c r="I800" s="8"/>
      <c r="L800" s="9"/>
    </row>
    <row r="801">
      <c r="C801" s="9"/>
      <c r="D801" s="9"/>
      <c r="F801" s="8"/>
      <c r="G801" s="8"/>
      <c r="H801" s="9"/>
      <c r="I801" s="8"/>
      <c r="L801" s="9"/>
    </row>
    <row r="802">
      <c r="C802" s="9"/>
      <c r="D802" s="9"/>
      <c r="F802" s="8"/>
      <c r="G802" s="8"/>
      <c r="H802" s="9"/>
      <c r="I802" s="8"/>
      <c r="L802" s="9"/>
    </row>
    <row r="803">
      <c r="C803" s="9"/>
      <c r="D803" s="9"/>
      <c r="F803" s="8"/>
      <c r="G803" s="8"/>
      <c r="H803" s="9"/>
      <c r="I803" s="8"/>
      <c r="L803" s="9"/>
    </row>
    <row r="804">
      <c r="C804" s="9"/>
      <c r="D804" s="9"/>
      <c r="F804" s="8"/>
      <c r="G804" s="8"/>
      <c r="H804" s="9"/>
      <c r="I804" s="8"/>
      <c r="L804" s="9"/>
    </row>
    <row r="805">
      <c r="C805" s="9"/>
      <c r="D805" s="9"/>
      <c r="F805" s="8"/>
      <c r="G805" s="8"/>
      <c r="H805" s="9"/>
      <c r="I805" s="8"/>
      <c r="L805" s="9"/>
    </row>
    <row r="806">
      <c r="C806" s="9"/>
      <c r="D806" s="9"/>
      <c r="F806" s="8"/>
      <c r="G806" s="8"/>
      <c r="H806" s="9"/>
      <c r="I806" s="8"/>
      <c r="L806" s="9"/>
    </row>
    <row r="807">
      <c r="C807" s="9"/>
      <c r="D807" s="9"/>
      <c r="F807" s="8"/>
      <c r="G807" s="8"/>
      <c r="H807" s="9"/>
      <c r="I807" s="8"/>
      <c r="L807" s="9"/>
    </row>
    <row r="808">
      <c r="C808" s="9"/>
      <c r="D808" s="9"/>
      <c r="F808" s="8"/>
      <c r="G808" s="8"/>
      <c r="H808" s="9"/>
      <c r="I808" s="8"/>
      <c r="L808" s="9"/>
    </row>
    <row r="809">
      <c r="C809" s="9"/>
      <c r="D809" s="9"/>
      <c r="F809" s="8"/>
      <c r="G809" s="8"/>
      <c r="H809" s="9"/>
      <c r="I809" s="8"/>
      <c r="L809" s="9"/>
    </row>
    <row r="810">
      <c r="C810" s="9"/>
      <c r="D810" s="9"/>
      <c r="F810" s="8"/>
      <c r="G810" s="8"/>
      <c r="H810" s="9"/>
      <c r="I810" s="8"/>
      <c r="L810" s="9"/>
    </row>
    <row r="811">
      <c r="C811" s="9"/>
      <c r="D811" s="9"/>
      <c r="F811" s="8"/>
      <c r="G811" s="8"/>
      <c r="H811" s="9"/>
      <c r="I811" s="8"/>
      <c r="L811" s="9"/>
    </row>
    <row r="812">
      <c r="C812" s="9"/>
      <c r="D812" s="9"/>
      <c r="F812" s="8"/>
      <c r="G812" s="8"/>
      <c r="H812" s="9"/>
      <c r="I812" s="8"/>
      <c r="L812" s="9"/>
    </row>
    <row r="813">
      <c r="C813" s="9"/>
      <c r="D813" s="9"/>
      <c r="F813" s="8"/>
      <c r="G813" s="8"/>
      <c r="H813" s="9"/>
      <c r="I813" s="8"/>
      <c r="L813" s="9"/>
    </row>
    <row r="814">
      <c r="C814" s="9"/>
      <c r="D814" s="9"/>
      <c r="F814" s="8"/>
      <c r="G814" s="8"/>
      <c r="H814" s="9"/>
      <c r="I814" s="8"/>
      <c r="L814" s="9"/>
    </row>
    <row r="815">
      <c r="C815" s="9"/>
      <c r="D815" s="9"/>
      <c r="F815" s="8"/>
      <c r="G815" s="8"/>
      <c r="H815" s="9"/>
      <c r="I815" s="8"/>
      <c r="L815" s="9"/>
    </row>
    <row r="816">
      <c r="C816" s="9"/>
      <c r="D816" s="9"/>
      <c r="F816" s="8"/>
      <c r="G816" s="8"/>
      <c r="H816" s="9"/>
      <c r="I816" s="8"/>
      <c r="L816" s="9"/>
    </row>
    <row r="817">
      <c r="C817" s="9"/>
      <c r="D817" s="9"/>
      <c r="F817" s="8"/>
      <c r="G817" s="8"/>
      <c r="H817" s="9"/>
      <c r="I817" s="8"/>
      <c r="L817" s="9"/>
    </row>
    <row r="818">
      <c r="C818" s="9"/>
      <c r="D818" s="9"/>
      <c r="F818" s="8"/>
      <c r="G818" s="8"/>
      <c r="H818" s="9"/>
      <c r="I818" s="8"/>
      <c r="L818" s="9"/>
    </row>
    <row r="819">
      <c r="C819" s="9"/>
      <c r="D819" s="9"/>
      <c r="F819" s="8"/>
      <c r="G819" s="8"/>
      <c r="H819" s="9"/>
      <c r="I819" s="8"/>
      <c r="L819" s="9"/>
    </row>
    <row r="820">
      <c r="C820" s="9"/>
      <c r="D820" s="9"/>
      <c r="F820" s="8"/>
      <c r="G820" s="8"/>
      <c r="H820" s="9"/>
      <c r="I820" s="8"/>
      <c r="L820" s="9"/>
    </row>
    <row r="821">
      <c r="C821" s="9"/>
      <c r="D821" s="9"/>
      <c r="F821" s="8"/>
      <c r="G821" s="8"/>
      <c r="H821" s="9"/>
      <c r="I821" s="8"/>
      <c r="L821" s="9"/>
    </row>
    <row r="822">
      <c r="C822" s="9"/>
      <c r="D822" s="9"/>
      <c r="F822" s="8"/>
      <c r="G822" s="8"/>
      <c r="H822" s="9"/>
      <c r="I822" s="8"/>
      <c r="L822" s="9"/>
    </row>
    <row r="823">
      <c r="C823" s="9"/>
      <c r="D823" s="9"/>
      <c r="F823" s="8"/>
      <c r="G823" s="8"/>
      <c r="H823" s="9"/>
      <c r="I823" s="8"/>
      <c r="L823" s="9"/>
    </row>
    <row r="824">
      <c r="C824" s="9"/>
      <c r="D824" s="9"/>
      <c r="F824" s="8"/>
      <c r="G824" s="8"/>
      <c r="H824" s="9"/>
      <c r="I824" s="8"/>
      <c r="L824" s="9"/>
    </row>
    <row r="825">
      <c r="C825" s="9"/>
      <c r="D825" s="9"/>
      <c r="F825" s="8"/>
      <c r="G825" s="8"/>
      <c r="H825" s="9"/>
      <c r="I825" s="8"/>
      <c r="L825" s="9"/>
    </row>
    <row r="826">
      <c r="C826" s="9"/>
      <c r="D826" s="9"/>
      <c r="F826" s="8"/>
      <c r="G826" s="8"/>
      <c r="H826" s="9"/>
      <c r="I826" s="8"/>
      <c r="L826" s="9"/>
    </row>
    <row r="827">
      <c r="C827" s="9"/>
      <c r="D827" s="9"/>
      <c r="F827" s="8"/>
      <c r="G827" s="8"/>
      <c r="H827" s="9"/>
      <c r="I827" s="8"/>
      <c r="L827" s="9"/>
    </row>
    <row r="828">
      <c r="C828" s="9"/>
      <c r="D828" s="9"/>
      <c r="F828" s="8"/>
      <c r="G828" s="8"/>
      <c r="H828" s="9"/>
      <c r="I828" s="8"/>
      <c r="L828" s="9"/>
    </row>
    <row r="829">
      <c r="C829" s="9"/>
      <c r="D829" s="9"/>
      <c r="F829" s="8"/>
      <c r="G829" s="8"/>
      <c r="H829" s="9"/>
      <c r="I829" s="8"/>
      <c r="L829" s="9"/>
    </row>
    <row r="830">
      <c r="C830" s="9"/>
      <c r="D830" s="9"/>
      <c r="F830" s="8"/>
      <c r="G830" s="8"/>
      <c r="H830" s="9"/>
      <c r="I830" s="8"/>
      <c r="L830" s="9"/>
    </row>
    <row r="831">
      <c r="C831" s="9"/>
      <c r="D831" s="9"/>
      <c r="F831" s="8"/>
      <c r="G831" s="8"/>
      <c r="H831" s="9"/>
      <c r="I831" s="8"/>
      <c r="L831" s="9"/>
    </row>
    <row r="832">
      <c r="C832" s="9"/>
      <c r="D832" s="9"/>
      <c r="F832" s="8"/>
      <c r="G832" s="8"/>
      <c r="H832" s="9"/>
      <c r="I832" s="8"/>
      <c r="L832" s="9"/>
    </row>
    <row r="833">
      <c r="C833" s="9"/>
      <c r="D833" s="9"/>
      <c r="F833" s="8"/>
      <c r="G833" s="8"/>
      <c r="H833" s="9"/>
      <c r="I833" s="8"/>
      <c r="L833" s="9"/>
    </row>
    <row r="834">
      <c r="C834" s="9"/>
      <c r="D834" s="9"/>
      <c r="F834" s="8"/>
      <c r="G834" s="8"/>
      <c r="H834" s="9"/>
      <c r="I834" s="8"/>
      <c r="L834" s="9"/>
    </row>
    <row r="835">
      <c r="C835" s="9"/>
      <c r="D835" s="9"/>
      <c r="F835" s="8"/>
      <c r="G835" s="8"/>
      <c r="H835" s="9"/>
      <c r="I835" s="8"/>
      <c r="L835" s="9"/>
    </row>
    <row r="836">
      <c r="C836" s="9"/>
      <c r="D836" s="9"/>
      <c r="F836" s="8"/>
      <c r="G836" s="8"/>
      <c r="H836" s="9"/>
      <c r="I836" s="8"/>
      <c r="L836" s="9"/>
    </row>
    <row r="837">
      <c r="C837" s="9"/>
      <c r="D837" s="9"/>
      <c r="F837" s="8"/>
      <c r="G837" s="8"/>
      <c r="H837" s="9"/>
      <c r="I837" s="8"/>
      <c r="L837" s="9"/>
    </row>
    <row r="838">
      <c r="C838" s="9"/>
      <c r="D838" s="9"/>
      <c r="F838" s="8"/>
      <c r="G838" s="8"/>
      <c r="H838" s="9"/>
      <c r="I838" s="8"/>
      <c r="L838" s="9"/>
    </row>
    <row r="839">
      <c r="C839" s="9"/>
      <c r="D839" s="9"/>
      <c r="F839" s="8"/>
      <c r="G839" s="8"/>
      <c r="H839" s="9"/>
      <c r="I839" s="8"/>
      <c r="L839" s="9"/>
    </row>
    <row r="840">
      <c r="C840" s="9"/>
      <c r="D840" s="9"/>
      <c r="F840" s="8"/>
      <c r="G840" s="8"/>
      <c r="H840" s="9"/>
      <c r="I840" s="8"/>
      <c r="L840" s="9"/>
    </row>
    <row r="841">
      <c r="C841" s="9"/>
      <c r="D841" s="9"/>
      <c r="F841" s="8"/>
      <c r="G841" s="8"/>
      <c r="H841" s="9"/>
      <c r="I841" s="8"/>
      <c r="L841" s="9"/>
    </row>
    <row r="842">
      <c r="C842" s="9"/>
      <c r="D842" s="9"/>
      <c r="F842" s="8"/>
      <c r="G842" s="8"/>
      <c r="H842" s="9"/>
      <c r="I842" s="8"/>
      <c r="L842" s="9"/>
    </row>
    <row r="843">
      <c r="C843" s="9"/>
      <c r="D843" s="9"/>
      <c r="F843" s="8"/>
      <c r="G843" s="8"/>
      <c r="H843" s="9"/>
      <c r="I843" s="8"/>
      <c r="L843" s="9"/>
    </row>
    <row r="844">
      <c r="C844" s="9"/>
      <c r="D844" s="9"/>
      <c r="F844" s="8"/>
      <c r="G844" s="8"/>
      <c r="H844" s="9"/>
      <c r="I844" s="8"/>
      <c r="L844" s="9"/>
    </row>
    <row r="845">
      <c r="C845" s="9"/>
      <c r="D845" s="9"/>
      <c r="F845" s="8"/>
      <c r="G845" s="8"/>
      <c r="H845" s="9"/>
      <c r="I845" s="8"/>
      <c r="L845" s="9"/>
    </row>
    <row r="846">
      <c r="C846" s="9"/>
      <c r="D846" s="9"/>
      <c r="F846" s="8"/>
      <c r="G846" s="8"/>
      <c r="H846" s="9"/>
      <c r="I846" s="8"/>
      <c r="L846" s="9"/>
    </row>
    <row r="847">
      <c r="C847" s="9"/>
      <c r="D847" s="9"/>
      <c r="F847" s="8"/>
      <c r="G847" s="8"/>
      <c r="H847" s="9"/>
      <c r="I847" s="8"/>
      <c r="L847" s="9"/>
    </row>
    <row r="848">
      <c r="C848" s="9"/>
      <c r="D848" s="9"/>
      <c r="F848" s="8"/>
      <c r="G848" s="8"/>
      <c r="H848" s="9"/>
      <c r="I848" s="8"/>
      <c r="L848" s="9"/>
    </row>
    <row r="849">
      <c r="C849" s="9"/>
      <c r="D849" s="9"/>
      <c r="F849" s="8"/>
      <c r="G849" s="8"/>
      <c r="H849" s="9"/>
      <c r="I849" s="8"/>
      <c r="L849" s="9"/>
    </row>
    <row r="850">
      <c r="C850" s="9"/>
      <c r="D850" s="9"/>
      <c r="F850" s="8"/>
      <c r="G850" s="8"/>
      <c r="H850" s="9"/>
      <c r="I850" s="8"/>
      <c r="L850" s="9"/>
    </row>
    <row r="851">
      <c r="C851" s="9"/>
      <c r="D851" s="9"/>
      <c r="F851" s="8"/>
      <c r="G851" s="8"/>
      <c r="H851" s="9"/>
      <c r="I851" s="8"/>
      <c r="L851" s="9"/>
    </row>
    <row r="852">
      <c r="C852" s="9"/>
      <c r="D852" s="9"/>
      <c r="F852" s="8"/>
      <c r="G852" s="8"/>
      <c r="H852" s="9"/>
      <c r="I852" s="8"/>
      <c r="L852" s="9"/>
    </row>
    <row r="853">
      <c r="C853" s="9"/>
      <c r="D853" s="9"/>
      <c r="F853" s="8"/>
      <c r="G853" s="8"/>
      <c r="H853" s="9"/>
      <c r="I853" s="8"/>
      <c r="L853" s="9"/>
    </row>
    <row r="854">
      <c r="C854" s="9"/>
      <c r="D854" s="9"/>
      <c r="F854" s="8"/>
      <c r="G854" s="8"/>
      <c r="H854" s="9"/>
      <c r="I854" s="8"/>
      <c r="L854" s="9"/>
    </row>
    <row r="855">
      <c r="C855" s="9"/>
      <c r="D855" s="9"/>
      <c r="F855" s="8"/>
      <c r="G855" s="8"/>
      <c r="H855" s="9"/>
      <c r="I855" s="8"/>
      <c r="L855" s="9"/>
    </row>
    <row r="856">
      <c r="C856" s="9"/>
      <c r="D856" s="9"/>
      <c r="F856" s="8"/>
      <c r="G856" s="8"/>
      <c r="H856" s="9"/>
      <c r="I856" s="8"/>
      <c r="L856" s="9"/>
    </row>
    <row r="857">
      <c r="C857" s="9"/>
      <c r="D857" s="9"/>
      <c r="F857" s="8"/>
      <c r="G857" s="8"/>
      <c r="H857" s="9"/>
      <c r="I857" s="8"/>
      <c r="L857" s="9"/>
    </row>
    <row r="858">
      <c r="C858" s="9"/>
      <c r="D858" s="9"/>
      <c r="F858" s="8"/>
      <c r="G858" s="8"/>
      <c r="H858" s="9"/>
      <c r="I858" s="8"/>
      <c r="L858" s="9"/>
    </row>
    <row r="859">
      <c r="C859" s="9"/>
      <c r="D859" s="9"/>
      <c r="F859" s="8"/>
      <c r="G859" s="8"/>
      <c r="H859" s="9"/>
      <c r="I859" s="8"/>
      <c r="L859" s="9"/>
    </row>
    <row r="860">
      <c r="C860" s="9"/>
      <c r="D860" s="9"/>
      <c r="F860" s="8"/>
      <c r="G860" s="8"/>
      <c r="H860" s="9"/>
      <c r="I860" s="8"/>
      <c r="L860" s="9"/>
    </row>
    <row r="861">
      <c r="C861" s="9"/>
      <c r="D861" s="9"/>
      <c r="F861" s="8"/>
      <c r="G861" s="8"/>
      <c r="H861" s="9"/>
      <c r="I861" s="8"/>
      <c r="L861" s="9"/>
    </row>
    <row r="862">
      <c r="C862" s="9"/>
      <c r="D862" s="9"/>
      <c r="F862" s="8"/>
      <c r="G862" s="8"/>
      <c r="H862" s="9"/>
      <c r="I862" s="8"/>
      <c r="L862" s="9"/>
    </row>
    <row r="863">
      <c r="C863" s="9"/>
      <c r="D863" s="9"/>
      <c r="F863" s="8"/>
      <c r="G863" s="8"/>
      <c r="H863" s="9"/>
      <c r="I863" s="8"/>
      <c r="L863" s="9"/>
    </row>
    <row r="864">
      <c r="C864" s="9"/>
      <c r="D864" s="9"/>
      <c r="F864" s="8"/>
      <c r="G864" s="8"/>
      <c r="H864" s="9"/>
      <c r="I864" s="8"/>
      <c r="L864" s="9"/>
    </row>
    <row r="865">
      <c r="C865" s="9"/>
      <c r="D865" s="9"/>
      <c r="F865" s="8"/>
      <c r="G865" s="8"/>
      <c r="H865" s="9"/>
      <c r="I865" s="8"/>
      <c r="L865" s="9"/>
    </row>
    <row r="866">
      <c r="C866" s="9"/>
      <c r="D866" s="9"/>
      <c r="F866" s="8"/>
      <c r="G866" s="8"/>
      <c r="H866" s="9"/>
      <c r="I866" s="8"/>
      <c r="L866" s="9"/>
    </row>
    <row r="867">
      <c r="C867" s="9"/>
      <c r="D867" s="9"/>
      <c r="F867" s="8"/>
      <c r="G867" s="8"/>
      <c r="H867" s="9"/>
      <c r="I867" s="8"/>
      <c r="L867" s="9"/>
    </row>
    <row r="868">
      <c r="C868" s="9"/>
      <c r="D868" s="9"/>
      <c r="F868" s="8"/>
      <c r="G868" s="8"/>
      <c r="H868" s="9"/>
      <c r="I868" s="8"/>
      <c r="L868" s="9"/>
    </row>
    <row r="869">
      <c r="C869" s="9"/>
      <c r="D869" s="9"/>
      <c r="F869" s="8"/>
      <c r="G869" s="8"/>
      <c r="H869" s="9"/>
      <c r="I869" s="8"/>
      <c r="L869" s="9"/>
    </row>
    <row r="870">
      <c r="C870" s="9"/>
      <c r="D870" s="9"/>
      <c r="F870" s="8"/>
      <c r="G870" s="8"/>
      <c r="H870" s="9"/>
      <c r="I870" s="8"/>
      <c r="L870" s="9"/>
    </row>
    <row r="871">
      <c r="C871" s="9"/>
      <c r="D871" s="9"/>
      <c r="F871" s="8"/>
      <c r="G871" s="8"/>
      <c r="H871" s="9"/>
      <c r="I871" s="8"/>
      <c r="L871" s="9"/>
    </row>
    <row r="872">
      <c r="C872" s="9"/>
      <c r="D872" s="9"/>
      <c r="F872" s="8"/>
      <c r="G872" s="8"/>
      <c r="H872" s="9"/>
      <c r="I872" s="8"/>
      <c r="L872" s="9"/>
    </row>
    <row r="873">
      <c r="C873" s="9"/>
      <c r="D873" s="9"/>
      <c r="F873" s="8"/>
      <c r="G873" s="8"/>
      <c r="H873" s="9"/>
      <c r="I873" s="8"/>
      <c r="L873" s="9"/>
    </row>
    <row r="874">
      <c r="C874" s="9"/>
      <c r="D874" s="9"/>
      <c r="F874" s="8"/>
      <c r="G874" s="8"/>
      <c r="H874" s="9"/>
      <c r="I874" s="8"/>
      <c r="L874" s="9"/>
    </row>
    <row r="875">
      <c r="C875" s="9"/>
      <c r="D875" s="9"/>
      <c r="F875" s="8"/>
      <c r="G875" s="8"/>
      <c r="H875" s="9"/>
      <c r="I875" s="8"/>
      <c r="L875" s="9"/>
    </row>
    <row r="876">
      <c r="C876" s="9"/>
      <c r="D876" s="9"/>
      <c r="F876" s="8"/>
      <c r="G876" s="8"/>
      <c r="H876" s="9"/>
      <c r="I876" s="8"/>
      <c r="L876" s="9"/>
    </row>
    <row r="877">
      <c r="C877" s="9"/>
      <c r="D877" s="9"/>
      <c r="F877" s="8"/>
      <c r="G877" s="8"/>
      <c r="H877" s="9"/>
      <c r="I877" s="8"/>
      <c r="L877" s="9"/>
    </row>
    <row r="878">
      <c r="C878" s="9"/>
      <c r="D878" s="9"/>
      <c r="F878" s="8"/>
      <c r="G878" s="8"/>
      <c r="H878" s="9"/>
      <c r="I878" s="8"/>
      <c r="L878" s="9"/>
    </row>
    <row r="879">
      <c r="C879" s="9"/>
      <c r="D879" s="9"/>
      <c r="F879" s="8"/>
      <c r="G879" s="8"/>
      <c r="H879" s="9"/>
      <c r="I879" s="8"/>
      <c r="L879" s="9"/>
    </row>
    <row r="880">
      <c r="C880" s="9"/>
      <c r="D880" s="9"/>
      <c r="F880" s="8"/>
      <c r="G880" s="8"/>
      <c r="H880" s="9"/>
      <c r="I880" s="8"/>
      <c r="L880" s="9"/>
    </row>
    <row r="881">
      <c r="C881" s="9"/>
      <c r="D881" s="9"/>
      <c r="F881" s="8"/>
      <c r="G881" s="8"/>
      <c r="H881" s="9"/>
      <c r="I881" s="8"/>
      <c r="L881" s="9"/>
    </row>
    <row r="882">
      <c r="C882" s="9"/>
      <c r="D882" s="9"/>
      <c r="F882" s="8"/>
      <c r="G882" s="8"/>
      <c r="H882" s="9"/>
      <c r="I882" s="8"/>
      <c r="L882" s="9"/>
    </row>
    <row r="883">
      <c r="C883" s="9"/>
      <c r="D883" s="9"/>
      <c r="F883" s="8"/>
      <c r="G883" s="8"/>
      <c r="H883" s="9"/>
      <c r="I883" s="8"/>
      <c r="L883" s="9"/>
    </row>
    <row r="884">
      <c r="C884" s="9"/>
      <c r="D884" s="9"/>
      <c r="F884" s="8"/>
      <c r="G884" s="8"/>
      <c r="H884" s="9"/>
      <c r="I884" s="8"/>
      <c r="L884" s="9"/>
    </row>
    <row r="885">
      <c r="C885" s="9"/>
      <c r="D885" s="9"/>
      <c r="F885" s="8"/>
      <c r="G885" s="8"/>
      <c r="H885" s="9"/>
      <c r="I885" s="8"/>
      <c r="L885" s="9"/>
    </row>
    <row r="886">
      <c r="C886" s="9"/>
      <c r="D886" s="9"/>
      <c r="F886" s="8"/>
      <c r="G886" s="8"/>
      <c r="H886" s="9"/>
      <c r="I886" s="8"/>
      <c r="L886" s="9"/>
    </row>
    <row r="887">
      <c r="C887" s="9"/>
      <c r="D887" s="9"/>
      <c r="F887" s="8"/>
      <c r="G887" s="8"/>
      <c r="H887" s="9"/>
      <c r="I887" s="8"/>
      <c r="L887" s="9"/>
    </row>
    <row r="888">
      <c r="C888" s="9"/>
      <c r="D888" s="9"/>
      <c r="F888" s="8"/>
      <c r="G888" s="8"/>
      <c r="H888" s="9"/>
      <c r="I888" s="8"/>
      <c r="L888" s="9"/>
    </row>
    <row r="889">
      <c r="C889" s="9"/>
      <c r="D889" s="9"/>
      <c r="F889" s="8"/>
      <c r="G889" s="8"/>
      <c r="H889" s="9"/>
      <c r="I889" s="8"/>
      <c r="L889" s="9"/>
    </row>
    <row r="890">
      <c r="C890" s="9"/>
      <c r="D890" s="9"/>
      <c r="F890" s="8"/>
      <c r="G890" s="8"/>
      <c r="H890" s="9"/>
      <c r="I890" s="8"/>
      <c r="L890" s="9"/>
    </row>
    <row r="891">
      <c r="C891" s="9"/>
      <c r="D891" s="9"/>
      <c r="F891" s="8"/>
      <c r="G891" s="8"/>
      <c r="H891" s="9"/>
      <c r="I891" s="8"/>
      <c r="L891" s="9"/>
    </row>
    <row r="892">
      <c r="C892" s="9"/>
      <c r="D892" s="9"/>
      <c r="F892" s="8"/>
      <c r="G892" s="8"/>
      <c r="H892" s="9"/>
      <c r="I892" s="8"/>
      <c r="L892" s="9"/>
    </row>
    <row r="893">
      <c r="C893" s="9"/>
      <c r="D893" s="9"/>
      <c r="F893" s="8"/>
      <c r="G893" s="8"/>
      <c r="H893" s="9"/>
      <c r="I893" s="8"/>
      <c r="L893" s="9"/>
    </row>
    <row r="894">
      <c r="C894" s="9"/>
      <c r="D894" s="9"/>
      <c r="F894" s="8"/>
      <c r="G894" s="8"/>
      <c r="H894" s="9"/>
      <c r="I894" s="8"/>
      <c r="L894" s="9"/>
    </row>
    <row r="895">
      <c r="C895" s="9"/>
      <c r="D895" s="9"/>
      <c r="F895" s="8"/>
      <c r="G895" s="8"/>
      <c r="H895" s="9"/>
      <c r="I895" s="8"/>
      <c r="L895" s="9"/>
    </row>
    <row r="896">
      <c r="C896" s="9"/>
      <c r="D896" s="9"/>
      <c r="F896" s="8"/>
      <c r="G896" s="8"/>
      <c r="H896" s="9"/>
      <c r="I896" s="8"/>
      <c r="L896" s="9"/>
    </row>
    <row r="897">
      <c r="C897" s="9"/>
      <c r="D897" s="9"/>
      <c r="F897" s="8"/>
      <c r="G897" s="8"/>
      <c r="H897" s="9"/>
      <c r="I897" s="8"/>
      <c r="L897" s="9"/>
    </row>
    <row r="898">
      <c r="C898" s="9"/>
      <c r="D898" s="9"/>
      <c r="F898" s="8"/>
      <c r="G898" s="8"/>
      <c r="H898" s="9"/>
      <c r="I898" s="8"/>
      <c r="L898" s="9"/>
    </row>
    <row r="899">
      <c r="C899" s="9"/>
      <c r="D899" s="9"/>
      <c r="F899" s="8"/>
      <c r="G899" s="8"/>
      <c r="H899" s="9"/>
      <c r="I899" s="8"/>
      <c r="L899" s="9"/>
    </row>
    <row r="900">
      <c r="C900" s="9"/>
      <c r="D900" s="9"/>
      <c r="F900" s="8"/>
      <c r="G900" s="8"/>
      <c r="H900" s="9"/>
      <c r="I900" s="8"/>
      <c r="L900" s="9"/>
    </row>
    <row r="901">
      <c r="C901" s="9"/>
      <c r="D901" s="9"/>
      <c r="F901" s="8"/>
      <c r="G901" s="8"/>
      <c r="H901" s="9"/>
      <c r="I901" s="8"/>
      <c r="L901" s="9"/>
    </row>
    <row r="902">
      <c r="C902" s="9"/>
      <c r="D902" s="9"/>
      <c r="F902" s="8"/>
      <c r="G902" s="8"/>
      <c r="H902" s="9"/>
      <c r="I902" s="8"/>
      <c r="L902" s="9"/>
    </row>
    <row r="903">
      <c r="C903" s="9"/>
      <c r="D903" s="9"/>
      <c r="F903" s="8"/>
      <c r="G903" s="8"/>
      <c r="H903" s="9"/>
      <c r="I903" s="8"/>
      <c r="L903" s="9"/>
    </row>
    <row r="904">
      <c r="C904" s="9"/>
      <c r="D904" s="9"/>
      <c r="F904" s="8"/>
      <c r="G904" s="8"/>
      <c r="H904" s="9"/>
      <c r="I904" s="8"/>
      <c r="L904" s="9"/>
    </row>
    <row r="905">
      <c r="C905" s="9"/>
      <c r="D905" s="9"/>
      <c r="F905" s="8"/>
      <c r="G905" s="8"/>
      <c r="H905" s="9"/>
      <c r="I905" s="8"/>
      <c r="L905" s="9"/>
    </row>
    <row r="906">
      <c r="C906" s="9"/>
      <c r="D906" s="9"/>
      <c r="F906" s="8"/>
      <c r="G906" s="8"/>
      <c r="H906" s="9"/>
      <c r="I906" s="8"/>
      <c r="L906" s="9"/>
    </row>
    <row r="907">
      <c r="C907" s="9"/>
      <c r="D907" s="9"/>
      <c r="F907" s="8"/>
      <c r="G907" s="8"/>
      <c r="H907" s="9"/>
      <c r="I907" s="8"/>
      <c r="L907" s="9"/>
    </row>
    <row r="908">
      <c r="C908" s="9"/>
      <c r="D908" s="9"/>
      <c r="F908" s="8"/>
      <c r="G908" s="8"/>
      <c r="H908" s="9"/>
      <c r="I908" s="8"/>
      <c r="L908" s="9"/>
    </row>
    <row r="909">
      <c r="C909" s="9"/>
      <c r="D909" s="9"/>
      <c r="F909" s="8"/>
      <c r="G909" s="8"/>
      <c r="H909" s="9"/>
      <c r="I909" s="8"/>
      <c r="L909" s="9"/>
    </row>
    <row r="910">
      <c r="C910" s="9"/>
      <c r="D910" s="9"/>
      <c r="F910" s="8"/>
      <c r="G910" s="8"/>
      <c r="H910" s="9"/>
      <c r="I910" s="8"/>
      <c r="L910" s="9"/>
    </row>
    <row r="911">
      <c r="C911" s="9"/>
      <c r="D911" s="9"/>
      <c r="F911" s="8"/>
      <c r="G911" s="8"/>
      <c r="H911" s="9"/>
      <c r="I911" s="8"/>
      <c r="L911" s="9"/>
    </row>
    <row r="912">
      <c r="C912" s="9"/>
      <c r="D912" s="9"/>
      <c r="F912" s="8"/>
      <c r="G912" s="8"/>
      <c r="H912" s="9"/>
      <c r="I912" s="8"/>
      <c r="L912" s="9"/>
    </row>
    <row r="913">
      <c r="C913" s="9"/>
      <c r="D913" s="9"/>
      <c r="F913" s="8"/>
      <c r="G913" s="8"/>
      <c r="H913" s="9"/>
      <c r="I913" s="8"/>
      <c r="L913" s="9"/>
    </row>
    <row r="914">
      <c r="C914" s="9"/>
      <c r="D914" s="9"/>
      <c r="F914" s="8"/>
      <c r="G914" s="8"/>
      <c r="H914" s="9"/>
      <c r="I914" s="8"/>
      <c r="L914" s="9"/>
    </row>
    <row r="915">
      <c r="C915" s="9"/>
      <c r="D915" s="9"/>
      <c r="F915" s="8"/>
      <c r="G915" s="8"/>
      <c r="H915" s="9"/>
      <c r="I915" s="8"/>
      <c r="L915" s="9"/>
    </row>
    <row r="916">
      <c r="C916" s="9"/>
      <c r="D916" s="9"/>
      <c r="F916" s="8"/>
      <c r="G916" s="8"/>
      <c r="H916" s="9"/>
      <c r="I916" s="8"/>
      <c r="L916" s="9"/>
    </row>
    <row r="917">
      <c r="C917" s="9"/>
      <c r="D917" s="9"/>
      <c r="F917" s="8"/>
      <c r="G917" s="8"/>
      <c r="H917" s="9"/>
      <c r="I917" s="8"/>
      <c r="L917" s="9"/>
    </row>
    <row r="918">
      <c r="C918" s="9"/>
      <c r="D918" s="9"/>
      <c r="F918" s="8"/>
      <c r="G918" s="8"/>
      <c r="H918" s="9"/>
      <c r="I918" s="8"/>
      <c r="L918" s="9"/>
    </row>
    <row r="919">
      <c r="C919" s="9"/>
      <c r="D919" s="9"/>
      <c r="F919" s="8"/>
      <c r="G919" s="8"/>
      <c r="H919" s="9"/>
      <c r="I919" s="8"/>
      <c r="L919" s="9"/>
    </row>
    <row r="920">
      <c r="C920" s="9"/>
      <c r="D920" s="9"/>
      <c r="F920" s="8"/>
      <c r="G920" s="8"/>
      <c r="H920" s="9"/>
      <c r="I920" s="8"/>
      <c r="L920" s="9"/>
    </row>
    <row r="921">
      <c r="C921" s="9"/>
      <c r="D921" s="9"/>
      <c r="F921" s="8"/>
      <c r="G921" s="8"/>
      <c r="H921" s="9"/>
      <c r="I921" s="8"/>
      <c r="L921" s="9"/>
    </row>
    <row r="922">
      <c r="C922" s="9"/>
      <c r="D922" s="9"/>
      <c r="F922" s="8"/>
      <c r="G922" s="8"/>
      <c r="H922" s="9"/>
      <c r="I922" s="8"/>
      <c r="L922" s="9"/>
    </row>
    <row r="923">
      <c r="C923" s="9"/>
      <c r="D923" s="9"/>
      <c r="F923" s="8"/>
      <c r="G923" s="8"/>
      <c r="H923" s="9"/>
      <c r="I923" s="8"/>
      <c r="L923" s="9"/>
    </row>
    <row r="924">
      <c r="C924" s="9"/>
      <c r="D924" s="9"/>
      <c r="F924" s="8"/>
      <c r="G924" s="8"/>
      <c r="H924" s="9"/>
      <c r="I924" s="8"/>
      <c r="L924" s="9"/>
    </row>
    <row r="925">
      <c r="C925" s="9"/>
      <c r="D925" s="9"/>
      <c r="F925" s="8"/>
      <c r="G925" s="8"/>
      <c r="H925" s="9"/>
      <c r="I925" s="8"/>
      <c r="L925" s="9"/>
    </row>
    <row r="926">
      <c r="C926" s="9"/>
      <c r="D926" s="9"/>
      <c r="F926" s="8"/>
      <c r="G926" s="8"/>
      <c r="H926" s="9"/>
      <c r="I926" s="8"/>
      <c r="L926" s="9"/>
    </row>
    <row r="927">
      <c r="C927" s="9"/>
      <c r="D927" s="9"/>
      <c r="F927" s="8"/>
      <c r="G927" s="8"/>
      <c r="H927" s="9"/>
      <c r="I927" s="8"/>
      <c r="L927" s="9"/>
    </row>
    <row r="928">
      <c r="C928" s="9"/>
      <c r="D928" s="9"/>
      <c r="F928" s="8"/>
      <c r="G928" s="8"/>
      <c r="H928" s="9"/>
      <c r="I928" s="8"/>
      <c r="L928" s="9"/>
    </row>
    <row r="929">
      <c r="C929" s="9"/>
      <c r="D929" s="9"/>
      <c r="F929" s="8"/>
      <c r="G929" s="8"/>
      <c r="H929" s="9"/>
      <c r="I929" s="8"/>
      <c r="L929" s="9"/>
    </row>
    <row r="930">
      <c r="C930" s="9"/>
      <c r="D930" s="9"/>
      <c r="F930" s="8"/>
      <c r="G930" s="8"/>
      <c r="H930" s="9"/>
      <c r="I930" s="8"/>
      <c r="L930" s="9"/>
    </row>
    <row r="931">
      <c r="C931" s="9"/>
      <c r="D931" s="9"/>
      <c r="F931" s="8"/>
      <c r="G931" s="8"/>
      <c r="H931" s="9"/>
      <c r="I931" s="8"/>
      <c r="L931" s="9"/>
    </row>
    <row r="932">
      <c r="C932" s="9"/>
      <c r="D932" s="9"/>
      <c r="F932" s="8"/>
      <c r="G932" s="8"/>
      <c r="H932" s="9"/>
      <c r="I932" s="8"/>
      <c r="L932" s="9"/>
    </row>
    <row r="933">
      <c r="C933" s="9"/>
      <c r="D933" s="9"/>
      <c r="F933" s="8"/>
      <c r="G933" s="8"/>
      <c r="H933" s="9"/>
      <c r="I933" s="8"/>
      <c r="L933" s="9"/>
    </row>
    <row r="934">
      <c r="C934" s="9"/>
      <c r="D934" s="9"/>
      <c r="F934" s="8"/>
      <c r="G934" s="8"/>
      <c r="H934" s="9"/>
      <c r="I934" s="8"/>
      <c r="L934" s="9"/>
    </row>
    <row r="935">
      <c r="C935" s="9"/>
      <c r="D935" s="9"/>
      <c r="F935" s="8"/>
      <c r="G935" s="8"/>
      <c r="H935" s="9"/>
      <c r="I935" s="8"/>
      <c r="L935" s="9"/>
    </row>
    <row r="936">
      <c r="C936" s="9"/>
      <c r="D936" s="9"/>
      <c r="F936" s="8"/>
      <c r="G936" s="8"/>
      <c r="H936" s="9"/>
      <c r="I936" s="8"/>
      <c r="L936" s="9"/>
    </row>
    <row r="937">
      <c r="C937" s="9"/>
      <c r="D937" s="9"/>
      <c r="F937" s="8"/>
      <c r="G937" s="8"/>
      <c r="H937" s="9"/>
      <c r="I937" s="8"/>
      <c r="L937" s="9"/>
    </row>
    <row r="938">
      <c r="C938" s="9"/>
      <c r="D938" s="9"/>
      <c r="F938" s="8"/>
      <c r="G938" s="8"/>
      <c r="H938" s="9"/>
      <c r="I938" s="8"/>
      <c r="L938" s="9"/>
    </row>
    <row r="939">
      <c r="C939" s="9"/>
      <c r="D939" s="9"/>
      <c r="F939" s="8"/>
      <c r="G939" s="8"/>
      <c r="H939" s="9"/>
      <c r="I939" s="8"/>
      <c r="L939" s="9"/>
    </row>
    <row r="940">
      <c r="C940" s="9"/>
      <c r="D940" s="9"/>
      <c r="F940" s="8"/>
      <c r="G940" s="8"/>
      <c r="H940" s="9"/>
      <c r="I940" s="8"/>
      <c r="L940" s="9"/>
    </row>
    <row r="941">
      <c r="C941" s="9"/>
      <c r="D941" s="9"/>
      <c r="F941" s="8"/>
      <c r="G941" s="8"/>
      <c r="H941" s="9"/>
      <c r="I941" s="8"/>
      <c r="L941" s="9"/>
    </row>
    <row r="942">
      <c r="C942" s="9"/>
      <c r="D942" s="9"/>
      <c r="F942" s="8"/>
      <c r="G942" s="8"/>
      <c r="H942" s="9"/>
      <c r="I942" s="8"/>
      <c r="L942" s="9"/>
    </row>
    <row r="943">
      <c r="C943" s="9"/>
      <c r="D943" s="9"/>
      <c r="F943" s="8"/>
      <c r="G943" s="8"/>
      <c r="H943" s="9"/>
      <c r="I943" s="8"/>
      <c r="L943" s="9"/>
    </row>
    <row r="944">
      <c r="C944" s="9"/>
      <c r="D944" s="9"/>
      <c r="F944" s="8"/>
      <c r="G944" s="8"/>
      <c r="H944" s="9"/>
      <c r="I944" s="8"/>
      <c r="L944" s="9"/>
    </row>
    <row r="945">
      <c r="C945" s="9"/>
      <c r="D945" s="9"/>
      <c r="F945" s="8"/>
      <c r="G945" s="8"/>
      <c r="H945" s="9"/>
      <c r="I945" s="8"/>
      <c r="L945" s="9"/>
    </row>
    <row r="946">
      <c r="C946" s="9"/>
      <c r="D946" s="9"/>
      <c r="F946" s="8"/>
      <c r="G946" s="8"/>
      <c r="H946" s="9"/>
      <c r="I946" s="8"/>
      <c r="L946" s="9"/>
    </row>
    <row r="947">
      <c r="C947" s="9"/>
      <c r="D947" s="9"/>
      <c r="F947" s="8"/>
      <c r="G947" s="8"/>
      <c r="H947" s="9"/>
      <c r="I947" s="8"/>
      <c r="L947" s="9"/>
    </row>
    <row r="948">
      <c r="C948" s="9"/>
      <c r="D948" s="9"/>
      <c r="F948" s="8"/>
      <c r="G948" s="8"/>
      <c r="H948" s="9"/>
      <c r="I948" s="8"/>
      <c r="L948" s="9"/>
    </row>
    <row r="949">
      <c r="C949" s="9"/>
      <c r="D949" s="9"/>
      <c r="F949" s="8"/>
      <c r="G949" s="8"/>
      <c r="H949" s="9"/>
      <c r="I949" s="8"/>
      <c r="L949" s="9"/>
    </row>
    <row r="950">
      <c r="C950" s="9"/>
      <c r="D950" s="9"/>
      <c r="F950" s="8"/>
      <c r="G950" s="8"/>
      <c r="H950" s="9"/>
      <c r="I950" s="8"/>
      <c r="L950" s="9"/>
    </row>
    <row r="951">
      <c r="C951" s="9"/>
      <c r="D951" s="9"/>
      <c r="F951" s="8"/>
      <c r="G951" s="8"/>
      <c r="H951" s="9"/>
      <c r="I951" s="8"/>
      <c r="L951" s="9"/>
    </row>
    <row r="952">
      <c r="C952" s="9"/>
      <c r="D952" s="9"/>
      <c r="F952" s="8"/>
      <c r="G952" s="8"/>
      <c r="H952" s="9"/>
      <c r="I952" s="8"/>
      <c r="L952" s="9"/>
    </row>
    <row r="953">
      <c r="C953" s="9"/>
      <c r="D953" s="9"/>
      <c r="F953" s="8"/>
      <c r="G953" s="8"/>
      <c r="H953" s="9"/>
      <c r="I953" s="8"/>
      <c r="L953" s="9"/>
    </row>
    <row r="954">
      <c r="C954" s="9"/>
      <c r="D954" s="9"/>
      <c r="F954" s="8"/>
      <c r="G954" s="8"/>
      <c r="H954" s="9"/>
      <c r="I954" s="8"/>
      <c r="L954" s="9"/>
    </row>
    <row r="955">
      <c r="C955" s="9"/>
      <c r="D955" s="9"/>
      <c r="F955" s="8"/>
      <c r="G955" s="8"/>
      <c r="H955" s="9"/>
      <c r="I955" s="8"/>
      <c r="L955" s="9"/>
    </row>
    <row r="956">
      <c r="C956" s="9"/>
      <c r="D956" s="9"/>
      <c r="F956" s="8"/>
      <c r="G956" s="8"/>
      <c r="H956" s="9"/>
      <c r="I956" s="8"/>
      <c r="L956" s="9"/>
    </row>
    <row r="957">
      <c r="C957" s="9"/>
      <c r="D957" s="9"/>
      <c r="F957" s="8"/>
      <c r="G957" s="8"/>
      <c r="H957" s="9"/>
      <c r="I957" s="8"/>
      <c r="L957" s="9"/>
    </row>
    <row r="958">
      <c r="C958" s="9"/>
      <c r="D958" s="9"/>
      <c r="F958" s="8"/>
      <c r="G958" s="8"/>
      <c r="H958" s="9"/>
      <c r="I958" s="8"/>
      <c r="L958" s="9"/>
    </row>
    <row r="959">
      <c r="C959" s="9"/>
      <c r="D959" s="9"/>
      <c r="F959" s="8"/>
      <c r="G959" s="8"/>
      <c r="H959" s="9"/>
      <c r="I959" s="8"/>
      <c r="L959" s="9"/>
    </row>
    <row r="960">
      <c r="C960" s="9"/>
      <c r="D960" s="9"/>
      <c r="F960" s="8"/>
      <c r="G960" s="8"/>
      <c r="H960" s="9"/>
      <c r="I960" s="8"/>
      <c r="L960" s="9"/>
    </row>
    <row r="961">
      <c r="C961" s="9"/>
      <c r="D961" s="9"/>
      <c r="F961" s="8"/>
      <c r="G961" s="8"/>
      <c r="H961" s="9"/>
      <c r="I961" s="8"/>
      <c r="L961" s="9"/>
    </row>
    <row r="962">
      <c r="C962" s="9"/>
      <c r="D962" s="9"/>
      <c r="F962" s="8"/>
      <c r="G962" s="8"/>
      <c r="H962" s="9"/>
      <c r="I962" s="8"/>
      <c r="L962" s="9"/>
    </row>
    <row r="963">
      <c r="C963" s="9"/>
      <c r="D963" s="9"/>
      <c r="F963" s="8"/>
      <c r="G963" s="8"/>
      <c r="H963" s="9"/>
      <c r="I963" s="8"/>
      <c r="L963" s="9"/>
    </row>
    <row r="964">
      <c r="C964" s="9"/>
      <c r="D964" s="9"/>
      <c r="F964" s="8"/>
      <c r="G964" s="8"/>
      <c r="H964" s="9"/>
      <c r="I964" s="8"/>
      <c r="L964" s="9"/>
    </row>
    <row r="965">
      <c r="C965" s="9"/>
      <c r="D965" s="9"/>
      <c r="F965" s="8"/>
      <c r="G965" s="8"/>
      <c r="H965" s="9"/>
      <c r="I965" s="8"/>
      <c r="L965" s="9"/>
    </row>
    <row r="966">
      <c r="C966" s="9"/>
      <c r="D966" s="9"/>
      <c r="F966" s="8"/>
      <c r="G966" s="8"/>
      <c r="H966" s="9"/>
      <c r="I966" s="8"/>
      <c r="L966" s="9"/>
    </row>
    <row r="967">
      <c r="C967" s="9"/>
      <c r="D967" s="9"/>
      <c r="F967" s="8"/>
      <c r="G967" s="8"/>
      <c r="H967" s="9"/>
      <c r="I967" s="8"/>
      <c r="L967" s="9"/>
    </row>
    <row r="968">
      <c r="C968" s="9"/>
      <c r="D968" s="9"/>
      <c r="F968" s="8"/>
      <c r="G968" s="8"/>
      <c r="H968" s="9"/>
      <c r="I968" s="8"/>
      <c r="L968" s="9"/>
    </row>
    <row r="969">
      <c r="C969" s="9"/>
      <c r="D969" s="9"/>
      <c r="F969" s="8"/>
      <c r="G969" s="8"/>
      <c r="H969" s="9"/>
      <c r="I969" s="8"/>
      <c r="L969" s="9"/>
    </row>
    <row r="970">
      <c r="C970" s="9"/>
      <c r="D970" s="9"/>
      <c r="F970" s="8"/>
      <c r="G970" s="8"/>
      <c r="H970" s="9"/>
      <c r="I970" s="8"/>
      <c r="L970" s="9"/>
    </row>
    <row r="971">
      <c r="C971" s="9"/>
      <c r="D971" s="9"/>
      <c r="F971" s="8"/>
      <c r="G971" s="8"/>
      <c r="H971" s="9"/>
      <c r="I971" s="8"/>
      <c r="L971" s="9"/>
    </row>
    <row r="972">
      <c r="C972" s="9"/>
      <c r="D972" s="9"/>
      <c r="F972" s="8"/>
      <c r="G972" s="8"/>
      <c r="H972" s="9"/>
      <c r="I972" s="8"/>
      <c r="L972" s="9"/>
    </row>
    <row r="973">
      <c r="C973" s="9"/>
      <c r="D973" s="9"/>
      <c r="F973" s="8"/>
      <c r="G973" s="8"/>
      <c r="H973" s="9"/>
      <c r="I973" s="8"/>
      <c r="L973" s="9"/>
    </row>
    <row r="974">
      <c r="C974" s="9"/>
      <c r="D974" s="9"/>
      <c r="F974" s="8"/>
      <c r="G974" s="8"/>
      <c r="H974" s="9"/>
      <c r="I974" s="8"/>
      <c r="L974" s="9"/>
    </row>
    <row r="975">
      <c r="C975" s="9"/>
      <c r="D975" s="9"/>
      <c r="F975" s="8"/>
      <c r="G975" s="8"/>
      <c r="H975" s="9"/>
      <c r="I975" s="8"/>
      <c r="L975" s="9"/>
    </row>
    <row r="976">
      <c r="C976" s="9"/>
      <c r="D976" s="9"/>
      <c r="F976" s="8"/>
      <c r="G976" s="8"/>
      <c r="H976" s="9"/>
      <c r="I976" s="8"/>
      <c r="L976" s="9"/>
    </row>
    <row r="977">
      <c r="C977" s="9"/>
      <c r="D977" s="9"/>
      <c r="F977" s="8"/>
      <c r="G977" s="8"/>
      <c r="H977" s="9"/>
      <c r="I977" s="8"/>
      <c r="L977" s="9"/>
    </row>
    <row r="978">
      <c r="C978" s="9"/>
      <c r="D978" s="9"/>
      <c r="F978" s="8"/>
      <c r="G978" s="8"/>
      <c r="H978" s="9"/>
      <c r="I978" s="8"/>
      <c r="L978" s="9"/>
    </row>
    <row r="979">
      <c r="C979" s="9"/>
      <c r="D979" s="9"/>
      <c r="F979" s="8"/>
      <c r="G979" s="8"/>
      <c r="H979" s="9"/>
      <c r="I979" s="8"/>
      <c r="L979" s="9"/>
    </row>
    <row r="980">
      <c r="C980" s="9"/>
      <c r="D980" s="9"/>
      <c r="F980" s="8"/>
      <c r="G980" s="8"/>
      <c r="H980" s="9"/>
      <c r="I980" s="8"/>
      <c r="L980" s="9"/>
    </row>
    <row r="981">
      <c r="C981" s="9"/>
      <c r="D981" s="9"/>
      <c r="F981" s="8"/>
      <c r="G981" s="8"/>
      <c r="H981" s="9"/>
      <c r="I981" s="8"/>
      <c r="L981" s="9"/>
    </row>
    <row r="982">
      <c r="C982" s="9"/>
      <c r="D982" s="9"/>
      <c r="F982" s="8"/>
      <c r="G982" s="8"/>
      <c r="H982" s="9"/>
      <c r="I982" s="8"/>
      <c r="L982" s="9"/>
    </row>
    <row r="983">
      <c r="C983" s="9"/>
      <c r="D983" s="9"/>
      <c r="F983" s="8"/>
      <c r="G983" s="8"/>
      <c r="H983" s="9"/>
      <c r="I983" s="8"/>
      <c r="L983" s="9"/>
    </row>
    <row r="984">
      <c r="C984" s="9"/>
      <c r="D984" s="9"/>
      <c r="F984" s="8"/>
      <c r="G984" s="8"/>
      <c r="H984" s="9"/>
      <c r="I984" s="8"/>
      <c r="L984" s="9"/>
    </row>
    <row r="985">
      <c r="C985" s="9"/>
      <c r="D985" s="9"/>
      <c r="F985" s="8"/>
      <c r="G985" s="8"/>
      <c r="H985" s="9"/>
      <c r="I985" s="8"/>
      <c r="L985" s="9"/>
    </row>
    <row r="986">
      <c r="C986" s="9"/>
      <c r="D986" s="9"/>
      <c r="F986" s="8"/>
      <c r="G986" s="8"/>
      <c r="H986" s="9"/>
      <c r="I986" s="8"/>
      <c r="L986" s="9"/>
    </row>
    <row r="987">
      <c r="C987" s="9"/>
      <c r="D987" s="9"/>
      <c r="F987" s="8"/>
      <c r="G987" s="8"/>
      <c r="H987" s="9"/>
      <c r="I987" s="8"/>
      <c r="L987" s="9"/>
    </row>
    <row r="988">
      <c r="C988" s="9"/>
      <c r="D988" s="9"/>
      <c r="F988" s="8"/>
      <c r="G988" s="8"/>
      <c r="H988" s="9"/>
      <c r="I988" s="8"/>
      <c r="L988" s="9"/>
    </row>
    <row r="989">
      <c r="C989" s="9"/>
      <c r="D989" s="9"/>
      <c r="F989" s="8"/>
      <c r="G989" s="8"/>
      <c r="H989" s="9"/>
      <c r="I989" s="8"/>
      <c r="L989" s="9"/>
    </row>
    <row r="990">
      <c r="C990" s="9"/>
      <c r="D990" s="9"/>
      <c r="F990" s="8"/>
      <c r="G990" s="8"/>
      <c r="H990" s="9"/>
      <c r="I990" s="8"/>
      <c r="L990" s="9"/>
    </row>
    <row r="991">
      <c r="C991" s="9"/>
      <c r="D991" s="9"/>
      <c r="F991" s="8"/>
      <c r="G991" s="8"/>
      <c r="H991" s="9"/>
      <c r="I991" s="8"/>
      <c r="L991" s="9"/>
    </row>
    <row r="992">
      <c r="C992" s="9"/>
      <c r="D992" s="9"/>
      <c r="F992" s="8"/>
      <c r="G992" s="8"/>
      <c r="H992" s="9"/>
      <c r="I992" s="8"/>
      <c r="L992" s="9"/>
    </row>
    <row r="993">
      <c r="C993" s="9"/>
      <c r="D993" s="9"/>
      <c r="F993" s="8"/>
      <c r="G993" s="8"/>
      <c r="H993" s="9"/>
      <c r="I993" s="8"/>
      <c r="L993" s="9"/>
    </row>
    <row r="994">
      <c r="C994" s="9"/>
      <c r="D994" s="9"/>
      <c r="F994" s="8"/>
      <c r="G994" s="8"/>
      <c r="H994" s="9"/>
      <c r="I994" s="8"/>
      <c r="L994" s="9"/>
    </row>
    <row r="995">
      <c r="C995" s="9"/>
      <c r="D995" s="9"/>
      <c r="F995" s="8"/>
      <c r="G995" s="8"/>
      <c r="H995" s="9"/>
      <c r="I995" s="8"/>
      <c r="L995" s="9"/>
    </row>
    <row r="996">
      <c r="C996" s="9"/>
      <c r="D996" s="9"/>
      <c r="F996" s="8"/>
      <c r="G996" s="8"/>
      <c r="H996" s="9"/>
      <c r="I996" s="8"/>
      <c r="L996" s="9"/>
    </row>
    <row r="997">
      <c r="C997" s="9"/>
      <c r="D997" s="9"/>
      <c r="F997" s="8"/>
      <c r="G997" s="8"/>
      <c r="H997" s="9"/>
      <c r="I997" s="8"/>
      <c r="L997" s="9"/>
    </row>
    <row r="998">
      <c r="C998" s="9"/>
      <c r="D998" s="9"/>
      <c r="F998" s="8"/>
      <c r="G998" s="8"/>
      <c r="H998" s="9"/>
      <c r="I998" s="8"/>
      <c r="L998" s="9"/>
    </row>
    <row r="999">
      <c r="C999" s="9"/>
      <c r="D999" s="9"/>
      <c r="F999" s="8"/>
      <c r="G999" s="8"/>
      <c r="H999" s="9"/>
      <c r="I999" s="8"/>
      <c r="L999" s="9"/>
    </row>
    <row r="1000">
      <c r="C1000" s="9"/>
      <c r="D1000" s="9"/>
      <c r="F1000" s="8"/>
      <c r="G1000" s="8"/>
      <c r="H1000" s="9"/>
      <c r="I1000" s="8"/>
      <c r="L1000" s="9"/>
    </row>
  </sheetData>
  <autoFilter ref="$A$1:$L$1000"/>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824D"/>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8.75"/>
    <col customWidth="1" min="2" max="2" width="16.25"/>
    <col customWidth="1" min="11" max="11" width="15.13"/>
    <col customWidth="1" min="12" max="12" width="14.63"/>
    <col customWidth="1" min="13" max="13" width="15.5"/>
    <col customWidth="1" min="14" max="14" width="15.0"/>
    <col customWidth="1" min="18" max="18" width="23.63"/>
    <col customWidth="1" min="19" max="19" width="21.5"/>
    <col customWidth="1" min="20" max="20" width="8.0"/>
    <col customWidth="1" min="21" max="21" width="16.38"/>
    <col customWidth="1" min="22" max="22" width="35.5"/>
  </cols>
  <sheetData>
    <row r="1">
      <c r="A1" s="10" t="s">
        <v>1224</v>
      </c>
    </row>
    <row r="2">
      <c r="A2" s="11" t="str">
        <f t="array" ref="A2:L2">{"string","string","date","date","text","number","number","boolean","number","text","text","boolean"}</f>
        <v>string</v>
      </c>
      <c r="B2" s="11" t="s">
        <v>1225</v>
      </c>
      <c r="C2" s="11" t="s">
        <v>1226</v>
      </c>
      <c r="D2" s="11" t="s">
        <v>1226</v>
      </c>
      <c r="E2" s="11" t="s">
        <v>1227</v>
      </c>
      <c r="F2" s="12" t="s">
        <v>1228</v>
      </c>
      <c r="G2" s="12" t="s">
        <v>1228</v>
      </c>
      <c r="H2" s="11" t="s">
        <v>1229</v>
      </c>
      <c r="I2" s="12" t="s">
        <v>1228</v>
      </c>
      <c r="J2" s="11" t="s">
        <v>1227</v>
      </c>
      <c r="K2" s="11" t="s">
        <v>1227</v>
      </c>
      <c r="L2" s="11" t="s">
        <v>1229</v>
      </c>
      <c r="M2" s="11" t="s">
        <v>1227</v>
      </c>
      <c r="N2" s="13" t="str">
        <f t="shared" ref="N2:N3" si="1">IF(ISBLANK(F2),AVERAGE(F$4:F$601),F2)</f>
        <v>number</v>
      </c>
      <c r="R2" s="14"/>
      <c r="S2" s="8"/>
      <c r="U2" s="14"/>
      <c r="V2" s="9"/>
    </row>
    <row r="3">
      <c r="A3" s="15" t="str">
        <f t="array" ref="A3:L603">'Raw Data'!A1:L601</f>
        <v>student_id</v>
      </c>
      <c r="B3" s="15" t="s">
        <v>1</v>
      </c>
      <c r="C3" s="16" t="s">
        <v>2</v>
      </c>
      <c r="D3" s="16" t="s">
        <v>3</v>
      </c>
      <c r="E3" s="16" t="s">
        <v>4</v>
      </c>
      <c r="F3" s="17" t="s">
        <v>5</v>
      </c>
      <c r="G3" s="17" t="s">
        <v>6</v>
      </c>
      <c r="H3" s="16" t="s">
        <v>7</v>
      </c>
      <c r="I3" s="17" t="s">
        <v>8</v>
      </c>
      <c r="J3" s="16" t="s">
        <v>9</v>
      </c>
      <c r="K3" s="16" t="s">
        <v>10</v>
      </c>
      <c r="L3" s="16" t="s">
        <v>11</v>
      </c>
      <c r="M3" s="18" t="s">
        <v>1230</v>
      </c>
      <c r="N3" s="19" t="str">
        <f t="shared" si="1"/>
        <v>course_rating</v>
      </c>
      <c r="R3" s="14"/>
      <c r="S3" s="8"/>
      <c r="U3" s="14"/>
      <c r="V3" s="9"/>
    </row>
    <row r="4">
      <c r="A4" s="20" t="s">
        <v>12</v>
      </c>
      <c r="B4" s="20" t="s">
        <v>13</v>
      </c>
      <c r="C4" s="21">
        <v>45115.0</v>
      </c>
      <c r="D4" s="21">
        <v>45127.0</v>
      </c>
      <c r="E4" s="9" t="s">
        <v>14</v>
      </c>
      <c r="F4" s="8">
        <v>0.2</v>
      </c>
      <c r="G4" s="8">
        <v>14.0</v>
      </c>
      <c r="H4" s="9">
        <v>0.0</v>
      </c>
      <c r="I4" s="8">
        <v>30.0</v>
      </c>
      <c r="J4" s="9" t="s">
        <v>15</v>
      </c>
      <c r="K4" s="9" t="s">
        <v>16</v>
      </c>
      <c r="L4" s="9">
        <v>1.0</v>
      </c>
      <c r="M4" s="22" t="str">
        <f t="shared" ref="M4:M603" si="2">IF(COUNTA(A3:L3)&lt;12,"Missing","OK")</f>
        <v>OK</v>
      </c>
      <c r="N4" s="8">
        <f>IF(ISBLANK(F4),AVERAGE(F$4:F$603),F4:F1000)</f>
        <v>0.2</v>
      </c>
      <c r="R4" s="23" t="s">
        <v>1231</v>
      </c>
      <c r="U4" s="24" t="s">
        <v>1232</v>
      </c>
    </row>
    <row r="5">
      <c r="A5" s="20" t="s">
        <v>17</v>
      </c>
      <c r="B5" s="20" t="s">
        <v>18</v>
      </c>
      <c r="C5" s="21">
        <v>45079.0</v>
      </c>
      <c r="D5" s="21">
        <v>45091.0</v>
      </c>
      <c r="E5" s="9" t="s">
        <v>14</v>
      </c>
      <c r="F5" s="8">
        <v>2.0</v>
      </c>
      <c r="G5" s="8">
        <v>32.0</v>
      </c>
      <c r="H5" s="9">
        <v>0.0</v>
      </c>
      <c r="I5" s="8">
        <v>48.0</v>
      </c>
      <c r="J5" s="9" t="s">
        <v>19</v>
      </c>
      <c r="K5" s="9" t="s">
        <v>16</v>
      </c>
      <c r="L5" s="9">
        <v>1.0</v>
      </c>
      <c r="M5" s="22" t="str">
        <f t="shared" si="2"/>
        <v>OK</v>
      </c>
      <c r="N5" s="8">
        <f t="shared" ref="N5:N603" si="3">IF(ISBLANK(F5),AVERAGE(F$4:F$601),F5:F1000)</f>
        <v>2</v>
      </c>
      <c r="R5" s="25" t="str">
        <f>IFERROR(__xludf.DUMMYFUNCTION("QUERY(A3:L1000, ""select E, avg(F) where E is not null and E &lt;&gt; '0' and E &lt;&gt; '' group by E order by avg(F) desc label avg(F) 'avg_rating'"", 1)"),"course_category")</f>
        <v>course_category</v>
      </c>
      <c r="S5" s="26" t="str">
        <f>IFERROR(__xludf.DUMMYFUNCTION("""COMPUTED_VALUE"""),"avg_rating")</f>
        <v>avg_rating</v>
      </c>
      <c r="U5" s="25" t="str">
        <f>IFERROR(__xludf.DUMMYFUNCTION("QUERY(A3:L1000, ""select K, count(A) where K is not null and K &lt;&gt; '0' and K &lt;&gt; '' group by K order by count(A) desc label count(A) 'users'"", 1)"),"device")</f>
        <v>device</v>
      </c>
      <c r="V5" s="25" t="str">
        <f>IFERROR(__xludf.DUMMYFUNCTION("""COMPUTED_VALUE"""),"users")</f>
        <v>users</v>
      </c>
    </row>
    <row r="6">
      <c r="A6" s="20" t="s">
        <v>20</v>
      </c>
      <c r="B6" s="20" t="s">
        <v>21</v>
      </c>
      <c r="C6" s="21">
        <v>45028.0</v>
      </c>
      <c r="D6" s="21">
        <v>45040.0</v>
      </c>
      <c r="E6" s="9" t="s">
        <v>22</v>
      </c>
      <c r="F6" s="8">
        <v>0.3</v>
      </c>
      <c r="G6" s="8">
        <v>16.0</v>
      </c>
      <c r="H6" s="9">
        <v>1.0</v>
      </c>
      <c r="I6" s="8">
        <v>34.0</v>
      </c>
      <c r="J6" s="9" t="s">
        <v>23</v>
      </c>
      <c r="K6" s="9" t="s">
        <v>16</v>
      </c>
      <c r="L6" s="9">
        <v>0.0</v>
      </c>
      <c r="M6" s="22" t="str">
        <f t="shared" si="2"/>
        <v>OK</v>
      </c>
      <c r="N6" s="8">
        <f t="shared" si="3"/>
        <v>0.3</v>
      </c>
      <c r="R6" s="27" t="str">
        <f>IFERROR(__xludf.DUMMYFUNCTION("""COMPUTED_VALUE"""),"Business")</f>
        <v>Business</v>
      </c>
      <c r="S6" s="28">
        <f>IFERROR(__xludf.DUMMYFUNCTION("""COMPUTED_VALUE"""),2.698581560283688)</f>
        <v>2.69858156</v>
      </c>
      <c r="U6" s="27" t="str">
        <f>IFERROR(__xludf.DUMMYFUNCTION("""COMPUTED_VALUE"""),"Tablet")</f>
        <v>Tablet</v>
      </c>
      <c r="V6" s="29">
        <f>IFERROR(__xludf.DUMMYFUNCTION("""COMPUTED_VALUE"""),220.0)</f>
        <v>220</v>
      </c>
    </row>
    <row r="7">
      <c r="A7" s="20" t="s">
        <v>24</v>
      </c>
      <c r="B7" s="20" t="s">
        <v>25</v>
      </c>
      <c r="C7" s="21">
        <v>45031.0</v>
      </c>
      <c r="D7" s="21">
        <v>45043.0</v>
      </c>
      <c r="E7" s="9" t="s">
        <v>14</v>
      </c>
      <c r="F7" s="8">
        <v>3.3</v>
      </c>
      <c r="G7" s="8">
        <v>78.0</v>
      </c>
      <c r="H7" s="9">
        <v>1.0</v>
      </c>
      <c r="I7" s="8">
        <v>39.0</v>
      </c>
      <c r="J7" s="9" t="s">
        <v>15</v>
      </c>
      <c r="K7" s="9" t="s">
        <v>26</v>
      </c>
      <c r="L7" s="9">
        <v>0.0</v>
      </c>
      <c r="M7" s="22" t="str">
        <f t="shared" si="2"/>
        <v>OK</v>
      </c>
      <c r="N7" s="8">
        <f t="shared" si="3"/>
        <v>3.3</v>
      </c>
      <c r="R7" s="27" t="str">
        <f>IFERROR(__xludf.DUMMYFUNCTION("""COMPUTED_VALUE"""),"Data Science")</f>
        <v>Data Science</v>
      </c>
      <c r="S7" s="28">
        <f>IFERROR(__xludf.DUMMYFUNCTION("""COMPUTED_VALUE"""),2.6318181818181814)</f>
        <v>2.631818182</v>
      </c>
      <c r="U7" s="27" t="str">
        <f>IFERROR(__xludf.DUMMYFUNCTION("""COMPUTED_VALUE"""),"Mobile")</f>
        <v>Mobile</v>
      </c>
      <c r="V7" s="29">
        <f>IFERROR(__xludf.DUMMYFUNCTION("""COMPUTED_VALUE"""),201.0)</f>
        <v>201</v>
      </c>
    </row>
    <row r="8">
      <c r="A8" s="20" t="s">
        <v>27</v>
      </c>
      <c r="B8" s="20" t="s">
        <v>28</v>
      </c>
      <c r="C8" s="21">
        <v>45107.0</v>
      </c>
      <c r="D8" s="21">
        <v>45119.0</v>
      </c>
      <c r="E8" s="9" t="s">
        <v>29</v>
      </c>
      <c r="F8" s="8">
        <v>0.6</v>
      </c>
      <c r="G8" s="8">
        <v>36.0</v>
      </c>
      <c r="H8" s="9">
        <v>0.0</v>
      </c>
      <c r="I8" s="8">
        <v>40.0</v>
      </c>
      <c r="J8" s="9" t="s">
        <v>15</v>
      </c>
      <c r="K8" s="9" t="s">
        <v>26</v>
      </c>
      <c r="L8" s="9">
        <v>0.0</v>
      </c>
      <c r="M8" s="22" t="str">
        <f t="shared" si="2"/>
        <v>OK</v>
      </c>
      <c r="N8" s="8">
        <f t="shared" si="3"/>
        <v>0.6</v>
      </c>
      <c r="R8" s="27" t="str">
        <f>IFERROR(__xludf.DUMMYFUNCTION("""COMPUTED_VALUE"""),"Design")</f>
        <v>Design</v>
      </c>
      <c r="S8" s="28">
        <f>IFERROR(__xludf.DUMMYFUNCTION("""COMPUTED_VALUE"""),2.430921052631579)</f>
        <v>2.430921053</v>
      </c>
      <c r="U8" s="27" t="str">
        <f>IFERROR(__xludf.DUMMYFUNCTION("""COMPUTED_VALUE"""),"Desktop")</f>
        <v>Desktop</v>
      </c>
      <c r="V8" s="29">
        <f>IFERROR(__xludf.DUMMYFUNCTION("""COMPUTED_VALUE"""),179.0)</f>
        <v>179</v>
      </c>
    </row>
    <row r="9">
      <c r="A9" s="20" t="s">
        <v>30</v>
      </c>
      <c r="B9" s="20" t="s">
        <v>31</v>
      </c>
      <c r="C9" s="21">
        <v>44980.0</v>
      </c>
      <c r="D9" s="21">
        <v>44992.0</v>
      </c>
      <c r="E9" s="9" t="s">
        <v>14</v>
      </c>
      <c r="F9" s="8">
        <v>3.0</v>
      </c>
      <c r="G9" s="8">
        <v>81.0</v>
      </c>
      <c r="H9" s="9">
        <v>0.0</v>
      </c>
      <c r="I9" s="8">
        <v>44.0</v>
      </c>
      <c r="J9" s="9" t="s">
        <v>32</v>
      </c>
      <c r="K9" s="9" t="s">
        <v>26</v>
      </c>
      <c r="L9" s="9">
        <v>1.0</v>
      </c>
      <c r="M9" s="22" t="str">
        <f t="shared" si="2"/>
        <v>OK</v>
      </c>
      <c r="N9" s="8">
        <f t="shared" si="3"/>
        <v>3</v>
      </c>
      <c r="R9" s="27" t="str">
        <f>IFERROR(__xludf.DUMMYFUNCTION("""COMPUTED_VALUE"""),"Marketing")</f>
        <v>Marketing</v>
      </c>
      <c r="S9" s="28">
        <f>IFERROR(__xludf.DUMMYFUNCTION("""COMPUTED_VALUE"""),2.272549019607843)</f>
        <v>2.27254902</v>
      </c>
      <c r="U9" s="14"/>
      <c r="V9" s="9"/>
    </row>
    <row r="10">
      <c r="A10" s="20" t="s">
        <v>33</v>
      </c>
      <c r="B10" s="20" t="s">
        <v>34</v>
      </c>
      <c r="C10" s="21">
        <v>45281.0</v>
      </c>
      <c r="D10" s="21">
        <v>45293.0</v>
      </c>
      <c r="E10" s="9" t="s">
        <v>22</v>
      </c>
      <c r="F10" s="8">
        <v>3.6</v>
      </c>
      <c r="G10" s="8">
        <v>57.0</v>
      </c>
      <c r="H10" s="9">
        <v>1.0</v>
      </c>
      <c r="I10" s="8">
        <v>25.0</v>
      </c>
      <c r="J10" s="9" t="s">
        <v>35</v>
      </c>
      <c r="K10" s="9" t="s">
        <v>26</v>
      </c>
      <c r="L10" s="9">
        <v>1.0</v>
      </c>
      <c r="M10" s="22" t="str">
        <f t="shared" si="2"/>
        <v>OK</v>
      </c>
      <c r="N10" s="8">
        <f t="shared" si="3"/>
        <v>3.6</v>
      </c>
      <c r="R10" s="14"/>
      <c r="S10" s="8"/>
      <c r="U10" s="14"/>
      <c r="V10" s="9"/>
      <c r="Y10" s="3"/>
    </row>
    <row r="11">
      <c r="A11" s="20" t="s">
        <v>36</v>
      </c>
      <c r="B11" s="20" t="s">
        <v>37</v>
      </c>
      <c r="C11" s="21">
        <v>45088.0</v>
      </c>
      <c r="D11" s="21">
        <v>45100.0</v>
      </c>
      <c r="E11" s="9" t="s">
        <v>38</v>
      </c>
      <c r="F11" s="8">
        <v>0.5</v>
      </c>
      <c r="G11" s="8">
        <v>11.0</v>
      </c>
      <c r="H11" s="9">
        <v>0.0</v>
      </c>
      <c r="I11" s="8">
        <v>43.0</v>
      </c>
      <c r="J11" s="9" t="s">
        <v>19</v>
      </c>
      <c r="K11" s="9" t="s">
        <v>26</v>
      </c>
      <c r="L11" s="9">
        <v>1.0</v>
      </c>
      <c r="M11" s="22" t="str">
        <f t="shared" si="2"/>
        <v>OK</v>
      </c>
      <c r="N11" s="8">
        <f t="shared" si="3"/>
        <v>0.5</v>
      </c>
      <c r="R11" s="14"/>
      <c r="S11" s="8"/>
      <c r="U11" s="14"/>
      <c r="V11" s="9"/>
    </row>
    <row r="12">
      <c r="A12" s="20" t="s">
        <v>39</v>
      </c>
      <c r="B12" s="20" t="s">
        <v>40</v>
      </c>
      <c r="C12" s="21">
        <v>45068.0</v>
      </c>
      <c r="D12" s="21">
        <v>45080.0</v>
      </c>
      <c r="E12" s="9" t="s">
        <v>38</v>
      </c>
      <c r="F12" s="8">
        <v>4.7</v>
      </c>
      <c r="G12" s="8">
        <v>76.0</v>
      </c>
      <c r="H12" s="9">
        <v>1.0</v>
      </c>
      <c r="I12" s="8">
        <v>17.0</v>
      </c>
      <c r="J12" s="9" t="s">
        <v>32</v>
      </c>
      <c r="K12" s="9" t="s">
        <v>26</v>
      </c>
      <c r="L12" s="9">
        <v>1.0</v>
      </c>
      <c r="M12" s="22" t="str">
        <f t="shared" si="2"/>
        <v>OK</v>
      </c>
      <c r="N12" s="8">
        <f t="shared" si="3"/>
        <v>4.7</v>
      </c>
      <c r="R12" s="14"/>
      <c r="S12" s="8"/>
      <c r="U12" s="14"/>
      <c r="V12" s="9"/>
    </row>
    <row r="13">
      <c r="A13" s="20" t="s">
        <v>41</v>
      </c>
      <c r="B13" s="20" t="s">
        <v>42</v>
      </c>
      <c r="C13" s="21">
        <v>44939.0</v>
      </c>
      <c r="D13" s="21">
        <v>44951.0</v>
      </c>
      <c r="E13" s="9" t="s">
        <v>38</v>
      </c>
      <c r="F13" s="8">
        <v>4.4</v>
      </c>
      <c r="G13" s="8">
        <v>49.0</v>
      </c>
      <c r="H13" s="9">
        <v>1.0</v>
      </c>
      <c r="I13" s="8">
        <v>31.0</v>
      </c>
      <c r="J13" s="9" t="s">
        <v>23</v>
      </c>
      <c r="K13" s="9" t="s">
        <v>16</v>
      </c>
      <c r="L13" s="9">
        <v>0.0</v>
      </c>
      <c r="M13" s="22" t="str">
        <f t="shared" si="2"/>
        <v>OK</v>
      </c>
      <c r="N13" s="8">
        <f t="shared" si="3"/>
        <v>4.4</v>
      </c>
      <c r="R13" s="14"/>
      <c r="S13" s="8"/>
      <c r="U13" s="14"/>
      <c r="V13" s="9"/>
    </row>
    <row r="14">
      <c r="A14" s="20" t="s">
        <v>43</v>
      </c>
      <c r="B14" s="20" t="s">
        <v>44</v>
      </c>
      <c r="C14" s="21">
        <v>45128.0</v>
      </c>
      <c r="D14" s="21">
        <v>45140.0</v>
      </c>
      <c r="E14" s="9" t="s">
        <v>38</v>
      </c>
      <c r="F14" s="8">
        <v>2.6</v>
      </c>
      <c r="G14" s="8">
        <v>5.0</v>
      </c>
      <c r="H14" s="9">
        <v>0.0</v>
      </c>
      <c r="I14" s="8">
        <v>35.0</v>
      </c>
      <c r="J14" s="9" t="s">
        <v>35</v>
      </c>
      <c r="K14" s="9" t="s">
        <v>16</v>
      </c>
      <c r="L14" s="9">
        <v>1.0</v>
      </c>
      <c r="M14" s="22" t="str">
        <f t="shared" si="2"/>
        <v>OK</v>
      </c>
      <c r="N14" s="8">
        <f t="shared" si="3"/>
        <v>2.6</v>
      </c>
      <c r="R14" s="14"/>
      <c r="S14" s="8"/>
      <c r="U14" s="14"/>
      <c r="V14" s="9"/>
    </row>
    <row r="15">
      <c r="A15" s="20" t="s">
        <v>45</v>
      </c>
      <c r="B15" s="20" t="s">
        <v>46</v>
      </c>
      <c r="C15" s="21">
        <v>45212.0</v>
      </c>
      <c r="D15" s="21">
        <v>45224.0</v>
      </c>
      <c r="E15" s="9" t="s">
        <v>38</v>
      </c>
      <c r="F15" s="8">
        <v>0.8</v>
      </c>
      <c r="G15" s="8">
        <v>2.0</v>
      </c>
      <c r="H15" s="9">
        <v>1.0</v>
      </c>
      <c r="I15" s="8">
        <v>36.0</v>
      </c>
      <c r="J15" s="9" t="s">
        <v>19</v>
      </c>
      <c r="K15" s="9" t="s">
        <v>47</v>
      </c>
      <c r="L15" s="9">
        <v>0.0</v>
      </c>
      <c r="M15" s="22" t="str">
        <f t="shared" si="2"/>
        <v>OK</v>
      </c>
      <c r="N15" s="8">
        <f t="shared" si="3"/>
        <v>0.8</v>
      </c>
      <c r="R15" s="14"/>
      <c r="S15" s="8"/>
      <c r="U15" s="14"/>
      <c r="V15" s="9"/>
    </row>
    <row r="16">
      <c r="A16" s="20" t="s">
        <v>48</v>
      </c>
      <c r="B16" s="20" t="s">
        <v>49</v>
      </c>
      <c r="C16" s="21">
        <v>45195.0</v>
      </c>
      <c r="D16" s="21">
        <v>45207.0</v>
      </c>
      <c r="E16" s="9" t="s">
        <v>38</v>
      </c>
      <c r="F16" s="8">
        <v>0.1</v>
      </c>
      <c r="G16" s="8">
        <v>8.0</v>
      </c>
      <c r="H16" s="9">
        <v>1.0</v>
      </c>
      <c r="I16" s="8">
        <v>15.0</v>
      </c>
      <c r="J16" s="9" t="s">
        <v>15</v>
      </c>
      <c r="K16" s="9" t="s">
        <v>26</v>
      </c>
      <c r="L16" s="9">
        <v>0.0</v>
      </c>
      <c r="M16" s="22" t="str">
        <f t="shared" si="2"/>
        <v>OK</v>
      </c>
      <c r="N16" s="8">
        <f t="shared" si="3"/>
        <v>0.1</v>
      </c>
      <c r="R16" s="14"/>
      <c r="S16" s="8"/>
      <c r="U16" s="14"/>
      <c r="V16" s="9"/>
    </row>
    <row r="17">
      <c r="A17" s="20" t="s">
        <v>50</v>
      </c>
      <c r="B17" s="20" t="s">
        <v>51</v>
      </c>
      <c r="C17" s="21">
        <v>45110.0</v>
      </c>
      <c r="D17" s="21">
        <v>45122.0</v>
      </c>
      <c r="E17" s="9" t="s">
        <v>29</v>
      </c>
      <c r="F17" s="8">
        <v>4.5</v>
      </c>
      <c r="G17" s="8">
        <v>27.0</v>
      </c>
      <c r="H17" s="9">
        <v>1.0</v>
      </c>
      <c r="I17" s="8">
        <v>46.0</v>
      </c>
      <c r="J17" s="9" t="s">
        <v>15</v>
      </c>
      <c r="K17" s="9" t="s">
        <v>26</v>
      </c>
      <c r="L17" s="9">
        <v>1.0</v>
      </c>
      <c r="M17" s="22" t="str">
        <f t="shared" si="2"/>
        <v>OK</v>
      </c>
      <c r="N17" s="8">
        <f t="shared" si="3"/>
        <v>4.5</v>
      </c>
      <c r="R17" s="14"/>
      <c r="S17" s="8"/>
      <c r="U17" s="14"/>
      <c r="V17" s="9"/>
    </row>
    <row r="18">
      <c r="A18" s="20" t="s">
        <v>52</v>
      </c>
      <c r="B18" s="20" t="s">
        <v>53</v>
      </c>
      <c r="C18" s="21">
        <v>44975.0</v>
      </c>
      <c r="D18" s="21">
        <v>44987.0</v>
      </c>
      <c r="E18" s="9" t="s">
        <v>38</v>
      </c>
      <c r="F18" s="8">
        <v>3.5</v>
      </c>
      <c r="G18" s="8">
        <v>48.0</v>
      </c>
      <c r="H18" s="9">
        <v>1.0</v>
      </c>
      <c r="I18" s="8">
        <v>13.0</v>
      </c>
      <c r="J18" s="9" t="s">
        <v>19</v>
      </c>
      <c r="K18" s="9" t="s">
        <v>26</v>
      </c>
      <c r="L18" s="9">
        <v>0.0</v>
      </c>
      <c r="M18" s="22" t="str">
        <f t="shared" si="2"/>
        <v>OK</v>
      </c>
      <c r="N18" s="8">
        <f t="shared" si="3"/>
        <v>3.5</v>
      </c>
      <c r="R18" s="14"/>
      <c r="S18" s="8"/>
      <c r="U18" s="14"/>
      <c r="V18" s="9"/>
    </row>
    <row r="19">
      <c r="A19" s="20" t="s">
        <v>54</v>
      </c>
      <c r="B19" s="20" t="s">
        <v>55</v>
      </c>
      <c r="C19" s="21">
        <v>45173.0</v>
      </c>
      <c r="D19" s="21">
        <v>45185.0</v>
      </c>
      <c r="E19" s="9" t="s">
        <v>38</v>
      </c>
      <c r="F19" s="8">
        <v>4.6</v>
      </c>
      <c r="G19" s="8">
        <v>15.0</v>
      </c>
      <c r="H19" s="9">
        <v>0.0</v>
      </c>
      <c r="I19" s="8">
        <v>21.0</v>
      </c>
      <c r="J19" s="9" t="s">
        <v>19</v>
      </c>
      <c r="K19" s="9" t="s">
        <v>16</v>
      </c>
      <c r="L19" s="9">
        <v>1.0</v>
      </c>
      <c r="M19" s="22" t="str">
        <f t="shared" si="2"/>
        <v>OK</v>
      </c>
      <c r="N19" s="8">
        <f t="shared" si="3"/>
        <v>4.6</v>
      </c>
      <c r="R19" s="14"/>
      <c r="S19" s="8"/>
      <c r="U19" s="14"/>
      <c r="V19" s="9"/>
    </row>
    <row r="20">
      <c r="A20" s="20" t="s">
        <v>56</v>
      </c>
      <c r="B20" s="20" t="s">
        <v>57</v>
      </c>
      <c r="C20" s="21">
        <v>45218.0</v>
      </c>
      <c r="D20" s="21">
        <v>45230.0</v>
      </c>
      <c r="E20" s="9" t="s">
        <v>14</v>
      </c>
      <c r="F20" s="8">
        <v>1.8</v>
      </c>
      <c r="G20" s="8">
        <v>71.0</v>
      </c>
      <c r="H20" s="9">
        <v>0.0</v>
      </c>
      <c r="I20" s="8">
        <v>14.0</v>
      </c>
      <c r="J20" s="9" t="s">
        <v>23</v>
      </c>
      <c r="K20" s="9" t="s">
        <v>26</v>
      </c>
      <c r="L20" s="9">
        <v>1.0</v>
      </c>
      <c r="M20" s="22" t="str">
        <f t="shared" si="2"/>
        <v>OK</v>
      </c>
      <c r="N20" s="8">
        <f t="shared" si="3"/>
        <v>1.8</v>
      </c>
      <c r="R20" s="14"/>
      <c r="S20" s="8"/>
      <c r="U20" s="14"/>
      <c r="V20" s="9"/>
    </row>
    <row r="21">
      <c r="A21" s="20" t="s">
        <v>58</v>
      </c>
      <c r="B21" s="20" t="s">
        <v>59</v>
      </c>
      <c r="C21" s="21">
        <v>44961.0</v>
      </c>
      <c r="D21" s="21">
        <v>44973.0</v>
      </c>
      <c r="E21" s="9" t="s">
        <v>38</v>
      </c>
      <c r="F21" s="8">
        <v>0.0</v>
      </c>
      <c r="G21" s="8">
        <v>28.0</v>
      </c>
      <c r="H21" s="9">
        <v>0.0</v>
      </c>
      <c r="I21" s="8">
        <v>56.0</v>
      </c>
      <c r="J21" s="9" t="s">
        <v>35</v>
      </c>
      <c r="K21" s="9" t="s">
        <v>16</v>
      </c>
      <c r="L21" s="9">
        <v>1.0</v>
      </c>
      <c r="M21" s="22" t="str">
        <f t="shared" si="2"/>
        <v>OK</v>
      </c>
      <c r="N21" s="8">
        <f t="shared" si="3"/>
        <v>0</v>
      </c>
      <c r="R21" s="14"/>
      <c r="S21" s="8"/>
      <c r="U21" s="14"/>
      <c r="V21" s="9"/>
    </row>
    <row r="22">
      <c r="A22" s="20" t="s">
        <v>60</v>
      </c>
      <c r="B22" s="20" t="s">
        <v>61</v>
      </c>
      <c r="C22" s="21">
        <v>44985.0</v>
      </c>
      <c r="D22" s="21">
        <v>44997.0</v>
      </c>
      <c r="E22" s="9" t="s">
        <v>38</v>
      </c>
      <c r="F22" s="8">
        <v>2.2</v>
      </c>
      <c r="G22" s="8">
        <v>66.0</v>
      </c>
      <c r="H22" s="9">
        <v>1.0</v>
      </c>
      <c r="I22" s="8">
        <v>37.0</v>
      </c>
      <c r="J22" s="9" t="s">
        <v>23</v>
      </c>
      <c r="K22" s="9" t="s">
        <v>47</v>
      </c>
      <c r="L22" s="9">
        <v>1.0</v>
      </c>
      <c r="M22" s="22" t="str">
        <f t="shared" si="2"/>
        <v>OK</v>
      </c>
      <c r="N22" s="8">
        <f t="shared" si="3"/>
        <v>2.2</v>
      </c>
      <c r="R22" s="14"/>
      <c r="S22" s="8"/>
      <c r="U22" s="14"/>
      <c r="V22" s="9"/>
    </row>
    <row r="23">
      <c r="A23" s="20" t="s">
        <v>62</v>
      </c>
      <c r="B23" s="20" t="s">
        <v>63</v>
      </c>
      <c r="C23" s="21">
        <v>45115.0</v>
      </c>
      <c r="D23" s="21">
        <v>45127.0</v>
      </c>
      <c r="E23" s="9" t="s">
        <v>29</v>
      </c>
      <c r="F23" s="8">
        <v>1.7</v>
      </c>
      <c r="G23" s="8">
        <v>51.0</v>
      </c>
      <c r="H23" s="9">
        <v>1.0</v>
      </c>
      <c r="I23" s="8">
        <v>33.0</v>
      </c>
      <c r="J23" s="9" t="s">
        <v>35</v>
      </c>
      <c r="K23" s="9" t="s">
        <v>47</v>
      </c>
      <c r="L23" s="9">
        <v>1.0</v>
      </c>
      <c r="M23" s="22" t="str">
        <f t="shared" si="2"/>
        <v>OK</v>
      </c>
      <c r="N23" s="8">
        <f t="shared" si="3"/>
        <v>1.7</v>
      </c>
      <c r="R23" s="14"/>
      <c r="S23" s="8"/>
      <c r="U23" s="14"/>
      <c r="V23" s="9"/>
    </row>
    <row r="24">
      <c r="A24" s="20" t="s">
        <v>64</v>
      </c>
      <c r="B24" s="20" t="s">
        <v>65</v>
      </c>
      <c r="C24" s="21">
        <v>45056.0</v>
      </c>
      <c r="D24" s="21">
        <v>45068.0</v>
      </c>
      <c r="E24" s="9" t="s">
        <v>38</v>
      </c>
      <c r="F24" s="8">
        <v>3.1</v>
      </c>
      <c r="G24" s="8">
        <v>47.0</v>
      </c>
      <c r="H24" s="9">
        <v>1.0</v>
      </c>
      <c r="I24" s="8">
        <v>53.0</v>
      </c>
      <c r="J24" s="9" t="s">
        <v>32</v>
      </c>
      <c r="K24" s="9" t="s">
        <v>47</v>
      </c>
      <c r="L24" s="9">
        <v>1.0</v>
      </c>
      <c r="M24" s="22" t="str">
        <f t="shared" si="2"/>
        <v>OK</v>
      </c>
      <c r="N24" s="8">
        <f t="shared" si="3"/>
        <v>3.1</v>
      </c>
      <c r="R24" s="14"/>
      <c r="S24" s="8"/>
      <c r="U24" s="14"/>
      <c r="V24" s="9"/>
    </row>
    <row r="25">
      <c r="A25" s="20" t="s">
        <v>66</v>
      </c>
      <c r="B25" s="20" t="s">
        <v>67</v>
      </c>
      <c r="C25" s="21">
        <v>45072.0</v>
      </c>
      <c r="D25" s="21">
        <v>45084.0</v>
      </c>
      <c r="E25" s="9" t="s">
        <v>22</v>
      </c>
      <c r="F25" s="8">
        <v>2.7</v>
      </c>
      <c r="G25" s="8">
        <v>26.0</v>
      </c>
      <c r="H25" s="9">
        <v>1.0</v>
      </c>
      <c r="I25" s="8">
        <v>26.0</v>
      </c>
      <c r="J25" s="9" t="s">
        <v>15</v>
      </c>
      <c r="K25" s="9" t="s">
        <v>26</v>
      </c>
      <c r="L25" s="9">
        <v>1.0</v>
      </c>
      <c r="M25" s="22" t="str">
        <f t="shared" si="2"/>
        <v>OK</v>
      </c>
      <c r="N25" s="8">
        <f t="shared" si="3"/>
        <v>2.7</v>
      </c>
      <c r="R25" s="14"/>
      <c r="S25" s="8"/>
      <c r="U25" s="14"/>
      <c r="V25" s="9"/>
    </row>
    <row r="26">
      <c r="A26" s="20" t="s">
        <v>68</v>
      </c>
      <c r="B26" s="20" t="s">
        <v>69</v>
      </c>
      <c r="C26" s="21">
        <v>45098.0</v>
      </c>
      <c r="D26" s="21">
        <v>45110.0</v>
      </c>
      <c r="E26" s="9" t="s">
        <v>14</v>
      </c>
      <c r="F26" s="8">
        <v>4.0</v>
      </c>
      <c r="G26" s="8">
        <v>60.0</v>
      </c>
      <c r="H26" s="9">
        <v>1.0</v>
      </c>
      <c r="I26" s="8">
        <v>51.0</v>
      </c>
      <c r="J26" s="9" t="s">
        <v>15</v>
      </c>
      <c r="K26" s="9" t="s">
        <v>16</v>
      </c>
      <c r="L26" s="9">
        <v>0.0</v>
      </c>
      <c r="M26" s="22" t="str">
        <f t="shared" si="2"/>
        <v>OK</v>
      </c>
      <c r="N26" s="8">
        <f t="shared" si="3"/>
        <v>4</v>
      </c>
      <c r="R26" s="14"/>
      <c r="S26" s="8"/>
      <c r="U26" s="14"/>
      <c r="V26" s="9"/>
    </row>
    <row r="27">
      <c r="A27" s="20" t="s">
        <v>70</v>
      </c>
      <c r="B27" s="20" t="s">
        <v>71</v>
      </c>
      <c r="C27" s="21">
        <v>45167.0</v>
      </c>
      <c r="D27" s="21">
        <v>45179.0</v>
      </c>
      <c r="E27" s="9" t="s">
        <v>22</v>
      </c>
      <c r="F27" s="8">
        <v>3.7</v>
      </c>
      <c r="G27" s="8">
        <v>40.0</v>
      </c>
      <c r="H27" s="9">
        <v>0.0</v>
      </c>
      <c r="I27" s="8">
        <v>28.0</v>
      </c>
      <c r="J27" s="9" t="s">
        <v>35</v>
      </c>
      <c r="K27" s="9" t="s">
        <v>16</v>
      </c>
      <c r="L27" s="9">
        <v>1.0</v>
      </c>
      <c r="M27" s="22" t="str">
        <f t="shared" si="2"/>
        <v>OK</v>
      </c>
      <c r="N27" s="8">
        <f t="shared" si="3"/>
        <v>3.7</v>
      </c>
      <c r="R27" s="14"/>
      <c r="S27" s="8"/>
      <c r="U27" s="14"/>
      <c r="V27" s="9"/>
    </row>
    <row r="28">
      <c r="A28" s="20" t="s">
        <v>72</v>
      </c>
      <c r="B28" s="20" t="s">
        <v>73</v>
      </c>
      <c r="C28" s="21">
        <v>44936.0</v>
      </c>
      <c r="D28" s="21">
        <v>44948.0</v>
      </c>
      <c r="E28" s="9" t="s">
        <v>14</v>
      </c>
      <c r="F28" s="8">
        <v>2.9</v>
      </c>
      <c r="G28" s="8">
        <v>56.0</v>
      </c>
      <c r="H28" s="9">
        <v>0.0</v>
      </c>
      <c r="I28" s="8">
        <v>50.0</v>
      </c>
      <c r="J28" s="9" t="s">
        <v>15</v>
      </c>
      <c r="K28" s="9" t="s">
        <v>26</v>
      </c>
      <c r="L28" s="9">
        <v>1.0</v>
      </c>
      <c r="M28" s="22" t="str">
        <f t="shared" si="2"/>
        <v>OK</v>
      </c>
      <c r="N28" s="8">
        <f t="shared" si="3"/>
        <v>2.9</v>
      </c>
      <c r="R28" s="14"/>
      <c r="S28" s="8"/>
      <c r="U28" s="14"/>
      <c r="V28" s="9"/>
    </row>
    <row r="29" ht="57.75" customHeight="1">
      <c r="A29" s="20" t="s">
        <v>74</v>
      </c>
      <c r="B29" s="20" t="s">
        <v>75</v>
      </c>
      <c r="C29" s="21">
        <v>45176.0</v>
      </c>
      <c r="D29" s="21">
        <v>45188.0</v>
      </c>
      <c r="E29" s="9" t="s">
        <v>14</v>
      </c>
      <c r="F29" s="8">
        <v>1.0</v>
      </c>
      <c r="G29" s="8">
        <v>69.0</v>
      </c>
      <c r="H29" s="9">
        <v>0.0</v>
      </c>
      <c r="I29" s="8">
        <v>19.0</v>
      </c>
      <c r="J29" s="9" t="s">
        <v>23</v>
      </c>
      <c r="K29" s="9" t="s">
        <v>47</v>
      </c>
      <c r="L29" s="9">
        <v>1.0</v>
      </c>
      <c r="M29" s="22" t="str">
        <f t="shared" si="2"/>
        <v>OK</v>
      </c>
      <c r="N29" s="8">
        <f t="shared" si="3"/>
        <v>1</v>
      </c>
      <c r="O29" s="30" t="s">
        <v>1233</v>
      </c>
      <c r="U29" s="31" t="s">
        <v>1234</v>
      </c>
    </row>
    <row r="30">
      <c r="A30" s="20" t="s">
        <v>76</v>
      </c>
      <c r="B30" s="20" t="s">
        <v>77</v>
      </c>
      <c r="C30" s="21">
        <v>45071.0</v>
      </c>
      <c r="D30" s="21">
        <v>45083.0</v>
      </c>
      <c r="E30" s="9" t="s">
        <v>29</v>
      </c>
      <c r="F30" s="8">
        <v>1.4</v>
      </c>
      <c r="G30" s="8">
        <v>63.0</v>
      </c>
      <c r="H30" s="9">
        <v>0.0</v>
      </c>
      <c r="I30" s="8">
        <v>45.0</v>
      </c>
      <c r="J30" s="9" t="s">
        <v>23</v>
      </c>
      <c r="K30" s="9" t="s">
        <v>16</v>
      </c>
      <c r="L30" s="9">
        <v>1.0</v>
      </c>
      <c r="M30" s="22" t="str">
        <f t="shared" si="2"/>
        <v>OK</v>
      </c>
      <c r="N30" s="8">
        <f t="shared" si="3"/>
        <v>1.4</v>
      </c>
      <c r="O30" s="32"/>
      <c r="Q30" s="33" t="s">
        <v>1235</v>
      </c>
      <c r="S30" s="8"/>
      <c r="U30" s="34" t="s">
        <v>1236</v>
      </c>
    </row>
    <row r="31">
      <c r="A31" s="20" t="s">
        <v>78</v>
      </c>
      <c r="B31" s="20" t="s">
        <v>79</v>
      </c>
      <c r="C31" s="21">
        <v>45250.0</v>
      </c>
      <c r="D31" s="21">
        <v>45262.0</v>
      </c>
      <c r="E31" s="9" t="s">
        <v>14</v>
      </c>
      <c r="F31" s="8">
        <v>1.2</v>
      </c>
      <c r="G31" s="8">
        <v>82.0</v>
      </c>
      <c r="H31" s="9">
        <v>0.0</v>
      </c>
      <c r="I31" s="8">
        <v>23.0</v>
      </c>
      <c r="J31" s="9" t="s">
        <v>15</v>
      </c>
      <c r="K31" s="9" t="s">
        <v>16</v>
      </c>
      <c r="L31" s="9">
        <v>1.0</v>
      </c>
      <c r="M31" s="22" t="str">
        <f t="shared" si="2"/>
        <v>OK</v>
      </c>
      <c r="N31" s="8">
        <f t="shared" si="3"/>
        <v>1.2</v>
      </c>
      <c r="Q31" s="25" t="str">
        <f>IFERROR(__xludf.DUMMYFUNCTION("QUERY(A3:L1000, ""select J, count(A) where J is not null and J &lt;&gt; '0' and J &lt;&gt; '' group by J order by count(A) desc label count(A) 'users'"", 1)"),"country")</f>
        <v>country</v>
      </c>
      <c r="R31" s="25" t="str">
        <f>IFERROR(__xludf.DUMMYFUNCTION("""COMPUTED_VALUE"""),"users")</f>
        <v>users</v>
      </c>
      <c r="S31" s="8"/>
      <c r="U31" s="35" t="str">
        <f>IFERROR(__xludf.DUMMYFUNCTION("QUERY(A3:L603, ""SELECT E, AVG(H) WHERE E IS NOT NULL GROUP BY E ORDER BY AVG(H) DESC LABEL AVG(H) 'completion_rate (%)'"", 1)"),"course_category")</f>
        <v>course_category</v>
      </c>
      <c r="V31" s="25" t="str">
        <f>IFERROR(__xludf.DUMMYFUNCTION("""COMPUTED_VALUE"""),"completion_rate (%)")</f>
        <v>completion_rate (%)</v>
      </c>
    </row>
    <row r="32">
      <c r="A32" s="20" t="s">
        <v>80</v>
      </c>
      <c r="B32" s="20" t="s">
        <v>81</v>
      </c>
      <c r="C32" s="21">
        <v>45096.0</v>
      </c>
      <c r="D32" s="21">
        <v>45108.0</v>
      </c>
      <c r="E32" s="9" t="s">
        <v>29</v>
      </c>
      <c r="F32" s="8">
        <v>4.3</v>
      </c>
      <c r="G32" s="8">
        <v>44.0</v>
      </c>
      <c r="H32" s="9">
        <v>1.0</v>
      </c>
      <c r="I32" s="8">
        <v>49.0</v>
      </c>
      <c r="J32" s="9" t="s">
        <v>19</v>
      </c>
      <c r="K32" s="9" t="s">
        <v>16</v>
      </c>
      <c r="L32" s="9">
        <v>0.0</v>
      </c>
      <c r="M32" s="22" t="str">
        <f t="shared" si="2"/>
        <v>OK</v>
      </c>
      <c r="N32" s="8">
        <f t="shared" si="3"/>
        <v>4.3</v>
      </c>
      <c r="Q32" s="27" t="str">
        <f>IFERROR(__xludf.DUMMYFUNCTION("""COMPUTED_VALUE"""),"USA")</f>
        <v>USA</v>
      </c>
      <c r="R32" s="36">
        <f>IFERROR(__xludf.DUMMYFUNCTION("""COMPUTED_VALUE"""),125.0)</f>
        <v>125</v>
      </c>
      <c r="S32" s="8"/>
      <c r="U32" s="27" t="str">
        <f>IFERROR(__xludf.DUMMYFUNCTION("""COMPUTED_VALUE"""),"Business")</f>
        <v>Business</v>
      </c>
      <c r="V32" s="37">
        <f>IFERROR(__xludf.DUMMYFUNCTION("""COMPUTED_VALUE"""),0.6312056737588653)</f>
        <v>0.6312056738</v>
      </c>
    </row>
    <row r="33">
      <c r="A33" s="20" t="s">
        <v>82</v>
      </c>
      <c r="B33" s="20" t="s">
        <v>83</v>
      </c>
      <c r="C33" s="21">
        <v>45230.0</v>
      </c>
      <c r="D33" s="21">
        <v>45242.0</v>
      </c>
      <c r="E33" s="9" t="s">
        <v>14</v>
      </c>
      <c r="F33" s="8">
        <v>2.1</v>
      </c>
      <c r="G33" s="8">
        <v>23.0</v>
      </c>
      <c r="H33" s="9">
        <v>1.0</v>
      </c>
      <c r="I33" s="8">
        <v>41.0</v>
      </c>
      <c r="J33" s="9" t="s">
        <v>32</v>
      </c>
      <c r="K33" s="9" t="s">
        <v>47</v>
      </c>
      <c r="L33" s="9">
        <v>1.0</v>
      </c>
      <c r="M33" s="22" t="str">
        <f t="shared" si="2"/>
        <v>OK</v>
      </c>
      <c r="N33" s="8">
        <f t="shared" si="3"/>
        <v>2.1</v>
      </c>
      <c r="Q33" s="27" t="str">
        <f>IFERROR(__xludf.DUMMYFUNCTION("""COMPUTED_VALUE"""),"India")</f>
        <v>India</v>
      </c>
      <c r="R33" s="36">
        <f>IFERROR(__xludf.DUMMYFUNCTION("""COMPUTED_VALUE"""),124.0)</f>
        <v>124</v>
      </c>
      <c r="S33" s="8"/>
      <c r="U33" s="27" t="str">
        <f>IFERROR(__xludf.DUMMYFUNCTION("""COMPUTED_VALUE"""),"Data Science")</f>
        <v>Data Science</v>
      </c>
      <c r="V33" s="37">
        <f>IFERROR(__xludf.DUMMYFUNCTION("""COMPUTED_VALUE"""),0.5584415584415584)</f>
        <v>0.5584415584</v>
      </c>
    </row>
    <row r="34">
      <c r="A34" s="20" t="s">
        <v>84</v>
      </c>
      <c r="B34" s="20" t="s">
        <v>85</v>
      </c>
      <c r="C34" s="21">
        <v>45139.0</v>
      </c>
      <c r="D34" s="21">
        <v>45151.0</v>
      </c>
      <c r="E34" s="9" t="s">
        <v>29</v>
      </c>
      <c r="F34" s="8">
        <v>3.4</v>
      </c>
      <c r="G34" s="8">
        <v>4.0</v>
      </c>
      <c r="H34" s="9">
        <v>1.0</v>
      </c>
      <c r="I34" s="8">
        <v>29.0</v>
      </c>
      <c r="J34" s="9" t="s">
        <v>15</v>
      </c>
      <c r="K34" s="9" t="s">
        <v>16</v>
      </c>
      <c r="L34" s="9">
        <v>1.0</v>
      </c>
      <c r="M34" s="22" t="str">
        <f t="shared" si="2"/>
        <v>OK</v>
      </c>
      <c r="N34" s="8">
        <f t="shared" si="3"/>
        <v>3.4</v>
      </c>
      <c r="Q34" s="27" t="str">
        <f>IFERROR(__xludf.DUMMYFUNCTION("""COMPUTED_VALUE"""),"UK")</f>
        <v>UK</v>
      </c>
      <c r="R34" s="36">
        <f>IFERROR(__xludf.DUMMYFUNCTION("""COMPUTED_VALUE"""),123.0)</f>
        <v>123</v>
      </c>
      <c r="S34" s="8"/>
      <c r="U34" s="27" t="str">
        <f>IFERROR(__xludf.DUMMYFUNCTION("""COMPUTED_VALUE"""),"Marketing")</f>
        <v>Marketing</v>
      </c>
      <c r="V34" s="37">
        <f>IFERROR(__xludf.DUMMYFUNCTION("""COMPUTED_VALUE"""),0.5555555555555556)</f>
        <v>0.5555555556</v>
      </c>
    </row>
    <row r="35">
      <c r="A35" s="20" t="s">
        <v>86</v>
      </c>
      <c r="B35" s="20" t="s">
        <v>87</v>
      </c>
      <c r="C35" s="21">
        <v>45015.0</v>
      </c>
      <c r="D35" s="21">
        <v>45027.0</v>
      </c>
      <c r="E35" s="9" t="s">
        <v>22</v>
      </c>
      <c r="F35" s="8">
        <v>1.9</v>
      </c>
      <c r="G35" s="8">
        <v>59.0</v>
      </c>
      <c r="H35" s="9">
        <v>0.0</v>
      </c>
      <c r="I35" s="8">
        <v>12.0</v>
      </c>
      <c r="J35" s="9" t="s">
        <v>15</v>
      </c>
      <c r="K35" s="9" t="s">
        <v>47</v>
      </c>
      <c r="L35" s="9">
        <v>0.0</v>
      </c>
      <c r="M35" s="22" t="str">
        <f t="shared" si="2"/>
        <v>OK</v>
      </c>
      <c r="N35" s="8">
        <f t="shared" si="3"/>
        <v>1.9</v>
      </c>
      <c r="Q35" s="27" t="str">
        <f>IFERROR(__xludf.DUMMYFUNCTION("""COMPUTED_VALUE"""),"France")</f>
        <v>France</v>
      </c>
      <c r="R35" s="36">
        <f>IFERROR(__xludf.DUMMYFUNCTION("""COMPUTED_VALUE"""),116.0)</f>
        <v>116</v>
      </c>
      <c r="S35" s="8"/>
      <c r="U35" s="27" t="str">
        <f>IFERROR(__xludf.DUMMYFUNCTION("""COMPUTED_VALUE"""),"Design")</f>
        <v>Design</v>
      </c>
      <c r="V35" s="37">
        <f>IFERROR(__xludf.DUMMYFUNCTION("""COMPUTED_VALUE"""),0.506578947368421)</f>
        <v>0.5065789474</v>
      </c>
    </row>
    <row r="36">
      <c r="A36" s="20" t="s">
        <v>88</v>
      </c>
      <c r="B36" s="20" t="s">
        <v>89</v>
      </c>
      <c r="C36" s="21">
        <v>45152.0</v>
      </c>
      <c r="D36" s="21">
        <v>45164.0</v>
      </c>
      <c r="E36" s="9" t="s">
        <v>14</v>
      </c>
      <c r="F36" s="8">
        <v>2.3</v>
      </c>
      <c r="G36" s="8">
        <v>77.0</v>
      </c>
      <c r="H36" s="9">
        <v>1.0</v>
      </c>
      <c r="I36" s="8">
        <v>24.0</v>
      </c>
      <c r="J36" s="9" t="s">
        <v>35</v>
      </c>
      <c r="K36" s="9" t="s">
        <v>47</v>
      </c>
      <c r="L36" s="9">
        <v>1.0</v>
      </c>
      <c r="M36" s="22" t="str">
        <f t="shared" si="2"/>
        <v>OK</v>
      </c>
      <c r="N36" s="8">
        <f t="shared" si="3"/>
        <v>2.3</v>
      </c>
      <c r="Q36" s="27" t="str">
        <f>IFERROR(__xludf.DUMMYFUNCTION("""COMPUTED_VALUE"""),"Germany")</f>
        <v>Germany</v>
      </c>
      <c r="R36" s="36">
        <f>IFERROR(__xludf.DUMMYFUNCTION("""COMPUTED_VALUE"""),112.0)</f>
        <v>112</v>
      </c>
      <c r="S36" s="8"/>
      <c r="U36" s="14"/>
      <c r="V36" s="38"/>
    </row>
    <row r="37">
      <c r="A37" s="20" t="s">
        <v>90</v>
      </c>
      <c r="B37" s="20" t="s">
        <v>91</v>
      </c>
      <c r="C37" s="21">
        <v>45241.0</v>
      </c>
      <c r="D37" s="21">
        <v>45253.0</v>
      </c>
      <c r="E37" s="9" t="s">
        <v>38</v>
      </c>
      <c r="F37" s="8">
        <v>0.4</v>
      </c>
      <c r="G37" s="8">
        <v>17.0</v>
      </c>
      <c r="H37" s="9">
        <v>0.0</v>
      </c>
      <c r="I37" s="8">
        <v>22.0</v>
      </c>
      <c r="J37" s="9" t="s">
        <v>23</v>
      </c>
      <c r="K37" s="9" t="s">
        <v>16</v>
      </c>
      <c r="L37" s="9">
        <v>0.0</v>
      </c>
      <c r="M37" s="22" t="str">
        <f t="shared" si="2"/>
        <v>OK</v>
      </c>
      <c r="N37" s="8">
        <f t="shared" si="3"/>
        <v>0.4</v>
      </c>
      <c r="R37" s="14"/>
      <c r="S37" s="8"/>
      <c r="U37" s="14"/>
      <c r="V37" s="9"/>
    </row>
    <row r="38">
      <c r="A38" s="20" t="s">
        <v>92</v>
      </c>
      <c r="B38" s="20" t="s">
        <v>93</v>
      </c>
      <c r="C38" s="21">
        <v>45140.0</v>
      </c>
      <c r="D38" s="21">
        <v>45152.0</v>
      </c>
      <c r="E38" s="9" t="s">
        <v>29</v>
      </c>
      <c r="F38" s="8">
        <v>4.2</v>
      </c>
      <c r="G38" s="8">
        <v>91.0</v>
      </c>
      <c r="H38" s="9">
        <v>1.0</v>
      </c>
      <c r="I38" s="8">
        <v>27.0</v>
      </c>
      <c r="J38" s="9" t="s">
        <v>19</v>
      </c>
      <c r="K38" s="9" t="s">
        <v>26</v>
      </c>
      <c r="L38" s="9">
        <v>1.0</v>
      </c>
      <c r="M38" s="22" t="str">
        <f t="shared" si="2"/>
        <v>OK</v>
      </c>
      <c r="N38" s="8">
        <f t="shared" si="3"/>
        <v>4.2</v>
      </c>
      <c r="R38" s="14"/>
      <c r="S38" s="8"/>
      <c r="U38" s="14"/>
      <c r="V38" s="9"/>
    </row>
    <row r="39">
      <c r="A39" s="20" t="s">
        <v>94</v>
      </c>
      <c r="B39" s="20" t="s">
        <v>95</v>
      </c>
      <c r="C39" s="21">
        <v>45219.0</v>
      </c>
      <c r="D39" s="21">
        <v>45231.0</v>
      </c>
      <c r="E39" s="9" t="s">
        <v>29</v>
      </c>
      <c r="F39" s="8">
        <v>0.7</v>
      </c>
      <c r="G39" s="8">
        <v>7.0</v>
      </c>
      <c r="H39" s="9">
        <v>0.0</v>
      </c>
      <c r="I39" s="8">
        <v>52.0</v>
      </c>
      <c r="J39" s="9" t="s">
        <v>32</v>
      </c>
      <c r="K39" s="9" t="s">
        <v>26</v>
      </c>
      <c r="L39" s="9">
        <v>1.0</v>
      </c>
      <c r="M39" s="22" t="str">
        <f t="shared" si="2"/>
        <v>OK</v>
      </c>
      <c r="N39" s="8">
        <f t="shared" si="3"/>
        <v>0.7</v>
      </c>
      <c r="R39" s="14"/>
      <c r="S39" s="8"/>
      <c r="U39" s="14"/>
      <c r="V39" s="9"/>
    </row>
    <row r="40">
      <c r="A40" s="20" t="s">
        <v>96</v>
      </c>
      <c r="B40" s="20" t="s">
        <v>97</v>
      </c>
      <c r="C40" s="21">
        <v>45163.0</v>
      </c>
      <c r="D40" s="21">
        <v>45175.0</v>
      </c>
      <c r="E40" s="9" t="s">
        <v>22</v>
      </c>
      <c r="F40" s="8">
        <v>1.5</v>
      </c>
      <c r="G40" s="8">
        <v>50.0</v>
      </c>
      <c r="H40" s="9">
        <v>1.0</v>
      </c>
      <c r="I40" s="8">
        <v>18.0</v>
      </c>
      <c r="J40" s="9" t="s">
        <v>32</v>
      </c>
      <c r="K40" s="9" t="s">
        <v>47</v>
      </c>
      <c r="L40" s="9">
        <v>0.0</v>
      </c>
      <c r="M40" s="22" t="str">
        <f t="shared" si="2"/>
        <v>OK</v>
      </c>
      <c r="N40" s="8">
        <f t="shared" si="3"/>
        <v>1.5</v>
      </c>
      <c r="R40" s="14"/>
      <c r="S40" s="8"/>
      <c r="U40" s="14"/>
      <c r="V40" s="9"/>
    </row>
    <row r="41">
      <c r="A41" s="20" t="s">
        <v>98</v>
      </c>
      <c r="B41" s="20" t="s">
        <v>99</v>
      </c>
      <c r="C41" s="21">
        <v>45195.0</v>
      </c>
      <c r="D41" s="21">
        <v>45207.0</v>
      </c>
      <c r="E41" s="9" t="s">
        <v>22</v>
      </c>
      <c r="F41" s="8">
        <v>4.8</v>
      </c>
      <c r="G41" s="8">
        <v>10.0</v>
      </c>
      <c r="H41" s="9">
        <v>1.0</v>
      </c>
      <c r="I41" s="8">
        <v>54.0</v>
      </c>
      <c r="J41" s="9" t="s">
        <v>23</v>
      </c>
      <c r="K41" s="9" t="s">
        <v>16</v>
      </c>
      <c r="L41" s="9">
        <v>1.0</v>
      </c>
      <c r="M41" s="22" t="str">
        <f t="shared" si="2"/>
        <v>OK</v>
      </c>
      <c r="N41" s="8">
        <f t="shared" si="3"/>
        <v>4.8</v>
      </c>
      <c r="R41" s="14"/>
      <c r="S41" s="8"/>
      <c r="U41" s="14"/>
      <c r="V41" s="9"/>
    </row>
    <row r="42">
      <c r="A42" s="20" t="s">
        <v>100</v>
      </c>
      <c r="B42" s="20" t="s">
        <v>101</v>
      </c>
      <c r="C42" s="21">
        <v>44953.0</v>
      </c>
      <c r="D42" s="21">
        <v>44965.0</v>
      </c>
      <c r="E42" s="9" t="s">
        <v>14</v>
      </c>
      <c r="F42" s="8">
        <v>1.1</v>
      </c>
      <c r="G42" s="8">
        <v>24.0</v>
      </c>
      <c r="H42" s="9">
        <v>0.0</v>
      </c>
      <c r="I42" s="8">
        <v>32.0</v>
      </c>
      <c r="J42" s="9" t="s">
        <v>32</v>
      </c>
      <c r="K42" s="9" t="s">
        <v>16</v>
      </c>
      <c r="L42" s="9">
        <v>1.0</v>
      </c>
      <c r="M42" s="22" t="str">
        <f t="shared" si="2"/>
        <v>OK</v>
      </c>
      <c r="N42" s="8">
        <f t="shared" si="3"/>
        <v>1.1</v>
      </c>
      <c r="R42" s="14"/>
      <c r="S42" s="8"/>
      <c r="U42" s="14"/>
      <c r="V42" s="9"/>
    </row>
    <row r="43">
      <c r="A43" s="20" t="s">
        <v>102</v>
      </c>
      <c r="B43" s="20" t="s">
        <v>103</v>
      </c>
      <c r="C43" s="21">
        <v>44929.0</v>
      </c>
      <c r="D43" s="21">
        <v>44941.0</v>
      </c>
      <c r="E43" s="9" t="s">
        <v>38</v>
      </c>
      <c r="F43" s="8">
        <v>0.9</v>
      </c>
      <c r="G43" s="8">
        <v>1.0</v>
      </c>
      <c r="H43" s="9">
        <v>0.0</v>
      </c>
      <c r="I43" s="8">
        <v>38.0</v>
      </c>
      <c r="J43" s="9" t="s">
        <v>35</v>
      </c>
      <c r="K43" s="9" t="s">
        <v>26</v>
      </c>
      <c r="L43" s="9">
        <v>0.0</v>
      </c>
      <c r="M43" s="22" t="str">
        <f t="shared" si="2"/>
        <v>OK</v>
      </c>
      <c r="N43" s="19">
        <f t="shared" si="3"/>
        <v>0.9</v>
      </c>
      <c r="R43" s="14"/>
      <c r="S43" s="8"/>
      <c r="U43" s="14"/>
      <c r="V43" s="9"/>
    </row>
    <row r="44">
      <c r="A44" s="20" t="s">
        <v>104</v>
      </c>
      <c r="B44" s="20" t="s">
        <v>105</v>
      </c>
      <c r="C44" s="21">
        <v>45177.0</v>
      </c>
      <c r="D44" s="21">
        <v>45189.0</v>
      </c>
      <c r="E44" s="9" t="s">
        <v>29</v>
      </c>
      <c r="F44" s="8">
        <v>2.5</v>
      </c>
      <c r="G44" s="8">
        <v>68.0</v>
      </c>
      <c r="H44" s="9">
        <v>1.0</v>
      </c>
      <c r="I44" s="8">
        <v>20.0</v>
      </c>
      <c r="J44" s="9" t="s">
        <v>23</v>
      </c>
      <c r="K44" s="9" t="s">
        <v>26</v>
      </c>
      <c r="L44" s="9">
        <v>1.0</v>
      </c>
      <c r="M44" s="22" t="str">
        <f t="shared" si="2"/>
        <v>OK</v>
      </c>
      <c r="N44" s="19">
        <f t="shared" si="3"/>
        <v>2.5</v>
      </c>
      <c r="R44" s="14"/>
      <c r="S44" s="8"/>
      <c r="U44" s="14"/>
      <c r="V44" s="9"/>
    </row>
    <row r="45">
      <c r="A45" s="20" t="s">
        <v>106</v>
      </c>
      <c r="B45" s="20" t="s">
        <v>107</v>
      </c>
      <c r="C45" s="21">
        <v>45205.0</v>
      </c>
      <c r="D45" s="21">
        <v>45217.0</v>
      </c>
      <c r="E45" s="9" t="s">
        <v>14</v>
      </c>
      <c r="F45" s="8">
        <v>1.6</v>
      </c>
      <c r="G45" s="8">
        <v>41.0</v>
      </c>
      <c r="H45" s="9">
        <v>0.0</v>
      </c>
      <c r="I45" s="8">
        <v>47.0</v>
      </c>
      <c r="J45" s="9" t="s">
        <v>32</v>
      </c>
      <c r="K45" s="9" t="s">
        <v>26</v>
      </c>
      <c r="L45" s="9">
        <v>1.0</v>
      </c>
      <c r="M45" s="22" t="str">
        <f t="shared" si="2"/>
        <v>OK</v>
      </c>
      <c r="N45" s="19">
        <f t="shared" si="3"/>
        <v>1.6</v>
      </c>
      <c r="R45" s="14"/>
      <c r="S45" s="8"/>
      <c r="U45" s="14"/>
      <c r="V45" s="9"/>
    </row>
    <row r="46">
      <c r="A46" s="20" t="s">
        <v>108</v>
      </c>
      <c r="B46" s="20" t="s">
        <v>109</v>
      </c>
      <c r="C46" s="21">
        <v>44973.0</v>
      </c>
      <c r="D46" s="21">
        <v>44985.0</v>
      </c>
      <c r="E46" s="9" t="s">
        <v>38</v>
      </c>
      <c r="F46" s="8">
        <v>3.9</v>
      </c>
      <c r="G46" s="8">
        <v>87.0</v>
      </c>
      <c r="H46" s="9">
        <v>0.0</v>
      </c>
      <c r="I46" s="8">
        <v>55.0</v>
      </c>
      <c r="J46" s="9" t="s">
        <v>19</v>
      </c>
      <c r="K46" s="9" t="s">
        <v>16</v>
      </c>
      <c r="L46" s="9">
        <v>0.0</v>
      </c>
      <c r="M46" s="22" t="str">
        <f t="shared" si="2"/>
        <v>OK</v>
      </c>
      <c r="N46" s="19">
        <f t="shared" si="3"/>
        <v>3.9</v>
      </c>
      <c r="R46" s="14"/>
      <c r="S46" s="8"/>
      <c r="U46" s="14"/>
      <c r="V46" s="9"/>
    </row>
    <row r="47">
      <c r="A47" s="20" t="s">
        <v>110</v>
      </c>
      <c r="B47" s="20" t="s">
        <v>111</v>
      </c>
      <c r="C47" s="21">
        <v>45266.0</v>
      </c>
      <c r="D47" s="21">
        <v>45278.0</v>
      </c>
      <c r="E47" s="9" t="s">
        <v>38</v>
      </c>
      <c r="F47" s="8">
        <v>2.8</v>
      </c>
      <c r="G47" s="8">
        <v>29.0</v>
      </c>
      <c r="H47" s="9">
        <v>1.0</v>
      </c>
      <c r="I47" s="8">
        <v>16.0</v>
      </c>
      <c r="J47" s="9" t="s">
        <v>15</v>
      </c>
      <c r="K47" s="9" t="s">
        <v>16</v>
      </c>
      <c r="L47" s="9">
        <v>1.0</v>
      </c>
      <c r="M47" s="22" t="str">
        <f t="shared" si="2"/>
        <v>OK</v>
      </c>
      <c r="N47" s="19">
        <f t="shared" si="3"/>
        <v>2.8</v>
      </c>
      <c r="R47" s="14"/>
      <c r="S47" s="8"/>
      <c r="U47" s="14"/>
      <c r="V47" s="9"/>
    </row>
    <row r="48">
      <c r="A48" s="20" t="s">
        <v>112</v>
      </c>
      <c r="B48" s="20" t="s">
        <v>113</v>
      </c>
      <c r="C48" s="21">
        <v>45176.0</v>
      </c>
      <c r="D48" s="21">
        <v>45188.0</v>
      </c>
      <c r="E48" s="9" t="s">
        <v>22</v>
      </c>
      <c r="F48" s="8">
        <v>3.8</v>
      </c>
      <c r="G48" s="8">
        <v>74.0</v>
      </c>
      <c r="H48" s="9">
        <v>0.0</v>
      </c>
      <c r="I48" s="8">
        <v>42.0</v>
      </c>
      <c r="J48" s="9" t="s">
        <v>15</v>
      </c>
      <c r="K48" s="9" t="s">
        <v>26</v>
      </c>
      <c r="L48" s="9">
        <v>0.0</v>
      </c>
      <c r="M48" s="22" t="str">
        <f t="shared" si="2"/>
        <v>OK</v>
      </c>
      <c r="N48" s="19">
        <f t="shared" si="3"/>
        <v>3.8</v>
      </c>
      <c r="R48" s="14"/>
      <c r="S48" s="8"/>
      <c r="U48" s="14"/>
      <c r="V48" s="9"/>
    </row>
    <row r="49">
      <c r="A49" s="20" t="s">
        <v>114</v>
      </c>
      <c r="B49" s="20" t="s">
        <v>115</v>
      </c>
      <c r="C49" s="21">
        <v>44945.0</v>
      </c>
      <c r="D49" s="21">
        <v>44957.0</v>
      </c>
      <c r="E49" s="9" t="s">
        <v>22</v>
      </c>
      <c r="F49" s="8">
        <v>4.1</v>
      </c>
      <c r="G49" s="8">
        <v>12.0</v>
      </c>
      <c r="H49" s="9">
        <v>1.0</v>
      </c>
      <c r="I49" s="8">
        <v>53.0</v>
      </c>
      <c r="J49" s="9" t="s">
        <v>23</v>
      </c>
      <c r="K49" s="9" t="s">
        <v>16</v>
      </c>
      <c r="L49" s="9">
        <v>1.0</v>
      </c>
      <c r="M49" s="22" t="str">
        <f t="shared" si="2"/>
        <v>OK</v>
      </c>
      <c r="N49" s="19">
        <f t="shared" si="3"/>
        <v>4.1</v>
      </c>
      <c r="R49" s="14"/>
      <c r="S49" s="8"/>
      <c r="U49" s="14"/>
      <c r="V49" s="9"/>
    </row>
    <row r="50">
      <c r="A50" s="20" t="s">
        <v>116</v>
      </c>
      <c r="B50" s="20" t="s">
        <v>117</v>
      </c>
      <c r="C50" s="21">
        <v>44961.0</v>
      </c>
      <c r="D50" s="21">
        <v>44973.0</v>
      </c>
      <c r="E50" s="9" t="s">
        <v>14</v>
      </c>
      <c r="F50" s="8">
        <v>4.9</v>
      </c>
      <c r="G50" s="8">
        <v>95.0</v>
      </c>
      <c r="H50" s="9">
        <v>0.0</v>
      </c>
      <c r="I50" s="8">
        <v>37.0</v>
      </c>
      <c r="J50" s="9" t="s">
        <v>32</v>
      </c>
      <c r="K50" s="9" t="s">
        <v>16</v>
      </c>
      <c r="L50" s="9">
        <v>0.0</v>
      </c>
      <c r="M50" s="22" t="str">
        <f t="shared" si="2"/>
        <v>OK</v>
      </c>
      <c r="N50" s="19">
        <f t="shared" si="3"/>
        <v>4.9</v>
      </c>
      <c r="R50" s="14"/>
      <c r="S50" s="8"/>
      <c r="U50" s="14"/>
      <c r="V50" s="9"/>
    </row>
    <row r="51">
      <c r="A51" s="20" t="s">
        <v>118</v>
      </c>
      <c r="B51" s="20" t="s">
        <v>119</v>
      </c>
      <c r="C51" s="21">
        <v>45022.0</v>
      </c>
      <c r="D51" s="21">
        <v>45034.0</v>
      </c>
      <c r="E51" s="9" t="s">
        <v>22</v>
      </c>
      <c r="F51" s="8">
        <v>3.2</v>
      </c>
      <c r="G51" s="8">
        <v>85.0</v>
      </c>
      <c r="H51" s="9">
        <v>1.0</v>
      </c>
      <c r="I51" s="8">
        <v>34.0</v>
      </c>
      <c r="J51" s="9" t="s">
        <v>32</v>
      </c>
      <c r="K51" s="9" t="s">
        <v>47</v>
      </c>
      <c r="L51" s="9">
        <v>1.0</v>
      </c>
      <c r="M51" s="22" t="str">
        <f t="shared" si="2"/>
        <v>OK</v>
      </c>
      <c r="N51" s="19">
        <f t="shared" si="3"/>
        <v>3.2</v>
      </c>
      <c r="R51" s="14"/>
      <c r="S51" s="8"/>
      <c r="U51" s="14"/>
      <c r="V51" s="9"/>
    </row>
    <row r="52">
      <c r="A52" s="20" t="s">
        <v>120</v>
      </c>
      <c r="B52" s="20" t="s">
        <v>121</v>
      </c>
      <c r="C52" s="21">
        <v>45122.0</v>
      </c>
      <c r="D52" s="21">
        <v>45134.0</v>
      </c>
      <c r="E52" s="9" t="s">
        <v>14</v>
      </c>
      <c r="F52" s="8">
        <v>5.0</v>
      </c>
      <c r="G52" s="8">
        <v>98.0</v>
      </c>
      <c r="H52" s="9">
        <v>0.0</v>
      </c>
      <c r="I52" s="8">
        <v>29.0</v>
      </c>
      <c r="J52" s="9" t="s">
        <v>32</v>
      </c>
      <c r="K52" s="9" t="s">
        <v>16</v>
      </c>
      <c r="L52" s="9">
        <v>1.0</v>
      </c>
      <c r="M52" s="22" t="str">
        <f t="shared" si="2"/>
        <v>OK</v>
      </c>
      <c r="N52" s="19">
        <f t="shared" si="3"/>
        <v>5</v>
      </c>
      <c r="O52" s="31" t="s">
        <v>1237</v>
      </c>
      <c r="U52" s="31" t="s">
        <v>1238</v>
      </c>
    </row>
    <row r="53">
      <c r="A53" s="20" t="s">
        <v>122</v>
      </c>
      <c r="B53" s="20" t="s">
        <v>123</v>
      </c>
      <c r="C53" s="21">
        <v>44927.0</v>
      </c>
      <c r="D53" s="21">
        <v>44939.0</v>
      </c>
      <c r="E53" s="9" t="s">
        <v>14</v>
      </c>
      <c r="F53" s="8">
        <v>2.4</v>
      </c>
      <c r="G53" s="8">
        <v>92.0</v>
      </c>
      <c r="H53" s="9">
        <v>1.0</v>
      </c>
      <c r="I53" s="8">
        <v>45.0</v>
      </c>
      <c r="J53" s="9" t="s">
        <v>23</v>
      </c>
      <c r="K53" s="9" t="s">
        <v>26</v>
      </c>
      <c r="L53" s="9">
        <v>1.0</v>
      </c>
      <c r="M53" s="22" t="str">
        <f t="shared" si="2"/>
        <v>OK</v>
      </c>
      <c r="N53" s="19">
        <f t="shared" si="3"/>
        <v>2.4</v>
      </c>
      <c r="R53" s="14"/>
      <c r="S53" s="8"/>
      <c r="U53" s="14"/>
      <c r="V53" s="9"/>
    </row>
    <row r="54">
      <c r="A54" s="20" t="s">
        <v>124</v>
      </c>
      <c r="B54" s="20" t="s">
        <v>125</v>
      </c>
      <c r="C54" s="21">
        <v>45082.0</v>
      </c>
      <c r="D54" s="21">
        <v>45094.0</v>
      </c>
      <c r="E54" s="9" t="s">
        <v>22</v>
      </c>
      <c r="F54" s="8">
        <v>1.3</v>
      </c>
      <c r="G54" s="8">
        <v>46.0</v>
      </c>
      <c r="H54" s="9">
        <v>0.0</v>
      </c>
      <c r="I54" s="8">
        <v>22.0</v>
      </c>
      <c r="J54" s="9" t="s">
        <v>15</v>
      </c>
      <c r="K54" s="9" t="s">
        <v>47</v>
      </c>
      <c r="L54" s="9">
        <v>1.0</v>
      </c>
      <c r="M54" s="22" t="str">
        <f t="shared" si="2"/>
        <v>OK</v>
      </c>
      <c r="N54" s="19">
        <f t="shared" si="3"/>
        <v>1.3</v>
      </c>
      <c r="O54" s="39"/>
      <c r="P54" s="39"/>
      <c r="Q54" s="39"/>
      <c r="R54" s="39"/>
      <c r="S54" s="39"/>
      <c r="T54" s="39"/>
      <c r="U54" s="39"/>
      <c r="V54" s="39"/>
      <c r="W54" s="39"/>
      <c r="X54" s="39"/>
    </row>
    <row r="55">
      <c r="A55" s="20" t="s">
        <v>126</v>
      </c>
      <c r="B55" s="20" t="s">
        <v>127</v>
      </c>
      <c r="C55" s="21">
        <v>44975.0</v>
      </c>
      <c r="D55" s="21">
        <v>44987.0</v>
      </c>
      <c r="E55" s="9" t="s">
        <v>14</v>
      </c>
      <c r="F55" s="8">
        <v>1.7</v>
      </c>
      <c r="G55" s="8">
        <v>38.0</v>
      </c>
      <c r="H55" s="9">
        <v>0.0</v>
      </c>
      <c r="I55" s="8">
        <v>50.0</v>
      </c>
      <c r="J55" s="9" t="s">
        <v>32</v>
      </c>
      <c r="K55" s="9" t="s">
        <v>47</v>
      </c>
      <c r="L55" s="9">
        <v>1.0</v>
      </c>
      <c r="M55" s="22" t="str">
        <f t="shared" si="2"/>
        <v>OK</v>
      </c>
      <c r="N55" s="19">
        <f t="shared" si="3"/>
        <v>1.7</v>
      </c>
      <c r="R55" s="14"/>
      <c r="S55" s="8"/>
      <c r="U55" s="14"/>
      <c r="V55" s="9"/>
    </row>
    <row r="56">
      <c r="A56" s="20" t="s">
        <v>128</v>
      </c>
      <c r="B56" s="20" t="s">
        <v>129</v>
      </c>
      <c r="C56" s="21">
        <v>45141.0</v>
      </c>
      <c r="D56" s="21">
        <v>45153.0</v>
      </c>
      <c r="E56" s="9" t="s">
        <v>38</v>
      </c>
      <c r="F56" s="8">
        <v>0.0</v>
      </c>
      <c r="G56" s="8">
        <v>6.0</v>
      </c>
      <c r="H56" s="9">
        <v>1.0</v>
      </c>
      <c r="I56" s="8">
        <v>25.0</v>
      </c>
      <c r="J56" s="9" t="s">
        <v>35</v>
      </c>
      <c r="K56" s="9" t="s">
        <v>16</v>
      </c>
      <c r="L56" s="9">
        <v>0.0</v>
      </c>
      <c r="M56" s="22" t="str">
        <f t="shared" si="2"/>
        <v>OK</v>
      </c>
      <c r="N56" s="19">
        <f t="shared" si="3"/>
        <v>0</v>
      </c>
      <c r="Q56" s="3"/>
      <c r="R56" s="3"/>
      <c r="S56" s="3"/>
      <c r="T56" s="3"/>
      <c r="U56" s="3"/>
      <c r="V56" s="3"/>
    </row>
    <row r="57">
      <c r="A57" s="20" t="s">
        <v>130</v>
      </c>
      <c r="B57" s="20" t="s">
        <v>131</v>
      </c>
      <c r="C57" s="21">
        <v>45179.0</v>
      </c>
      <c r="D57" s="21">
        <v>45191.0</v>
      </c>
      <c r="E57" s="9" t="s">
        <v>14</v>
      </c>
      <c r="F57" s="8">
        <v>2.6</v>
      </c>
      <c r="G57" s="8">
        <v>58.0</v>
      </c>
      <c r="H57" s="9">
        <v>0.0</v>
      </c>
      <c r="I57" s="8">
        <v>47.0</v>
      </c>
      <c r="J57" s="9" t="s">
        <v>32</v>
      </c>
      <c r="K57" s="9" t="s">
        <v>26</v>
      </c>
      <c r="L57" s="9">
        <v>1.0</v>
      </c>
      <c r="M57" s="22" t="str">
        <f t="shared" si="2"/>
        <v>OK</v>
      </c>
      <c r="N57" s="19">
        <f t="shared" si="3"/>
        <v>2.6</v>
      </c>
      <c r="R57" s="14"/>
      <c r="S57" s="8"/>
      <c r="U57" s="14"/>
      <c r="V57" s="9"/>
    </row>
    <row r="58">
      <c r="A58" s="20" t="s">
        <v>132</v>
      </c>
      <c r="B58" s="20" t="s">
        <v>133</v>
      </c>
      <c r="C58" s="21">
        <v>44938.0</v>
      </c>
      <c r="D58" s="21">
        <v>44950.0</v>
      </c>
      <c r="E58" s="9" t="s">
        <v>22</v>
      </c>
      <c r="F58" s="8">
        <v>0.6</v>
      </c>
      <c r="G58" s="8">
        <v>80.0</v>
      </c>
      <c r="H58" s="9">
        <v>1.0</v>
      </c>
      <c r="I58" s="8">
        <v>42.0</v>
      </c>
      <c r="J58" s="9" t="s">
        <v>35</v>
      </c>
      <c r="K58" s="9" t="s">
        <v>26</v>
      </c>
      <c r="L58" s="9">
        <v>1.0</v>
      </c>
      <c r="M58" s="22" t="str">
        <f t="shared" si="2"/>
        <v>OK</v>
      </c>
      <c r="N58" s="19">
        <f t="shared" si="3"/>
        <v>0.6</v>
      </c>
      <c r="R58" s="14"/>
      <c r="S58" s="8"/>
      <c r="U58" s="14"/>
      <c r="V58" s="9"/>
    </row>
    <row r="59">
      <c r="A59" s="20" t="s">
        <v>134</v>
      </c>
      <c r="B59" s="20" t="s">
        <v>135</v>
      </c>
      <c r="C59" s="21">
        <v>45039.0</v>
      </c>
      <c r="D59" s="21">
        <v>45051.0</v>
      </c>
      <c r="E59" s="9" t="s">
        <v>22</v>
      </c>
      <c r="F59" s="8">
        <v>1.1</v>
      </c>
      <c r="G59" s="8">
        <v>30.0</v>
      </c>
      <c r="H59" s="9">
        <v>0.0</v>
      </c>
      <c r="I59" s="8">
        <v>44.0</v>
      </c>
      <c r="J59" s="9" t="s">
        <v>35</v>
      </c>
      <c r="K59" s="9" t="s">
        <v>16</v>
      </c>
      <c r="L59" s="9">
        <v>1.0</v>
      </c>
      <c r="M59" s="22" t="str">
        <f t="shared" si="2"/>
        <v>OK</v>
      </c>
      <c r="N59" s="19">
        <f t="shared" si="3"/>
        <v>1.1</v>
      </c>
      <c r="R59" s="14"/>
      <c r="S59" s="8"/>
      <c r="U59" s="14"/>
      <c r="V59" s="9"/>
    </row>
    <row r="60">
      <c r="A60" s="20" t="s">
        <v>136</v>
      </c>
      <c r="B60" s="20" t="s">
        <v>137</v>
      </c>
      <c r="C60" s="21">
        <v>45143.0</v>
      </c>
      <c r="D60" s="21">
        <v>45155.0</v>
      </c>
      <c r="E60" s="9" t="s">
        <v>38</v>
      </c>
      <c r="F60" s="8">
        <v>2.0</v>
      </c>
      <c r="G60" s="8">
        <v>20.0</v>
      </c>
      <c r="H60" s="9">
        <v>1.0</v>
      </c>
      <c r="I60" s="8">
        <v>18.0</v>
      </c>
      <c r="J60" s="9" t="s">
        <v>19</v>
      </c>
      <c r="K60" s="9" t="s">
        <v>16</v>
      </c>
      <c r="L60" s="9">
        <v>1.0</v>
      </c>
      <c r="M60" s="22" t="str">
        <f t="shared" si="2"/>
        <v>OK</v>
      </c>
      <c r="N60" s="19">
        <f t="shared" si="3"/>
        <v>2</v>
      </c>
      <c r="R60" s="14"/>
      <c r="S60" s="8"/>
      <c r="U60" s="14"/>
      <c r="V60" s="9"/>
    </row>
    <row r="61">
      <c r="A61" s="20" t="s">
        <v>138</v>
      </c>
      <c r="B61" s="20" t="s">
        <v>139</v>
      </c>
      <c r="C61" s="21">
        <v>45083.0</v>
      </c>
      <c r="D61" s="21">
        <v>45095.0</v>
      </c>
      <c r="E61" s="9" t="s">
        <v>14</v>
      </c>
      <c r="F61" s="8">
        <v>1.8</v>
      </c>
      <c r="G61" s="8">
        <v>84.0</v>
      </c>
      <c r="H61" s="9">
        <v>0.0</v>
      </c>
      <c r="I61" s="8">
        <v>38.0</v>
      </c>
      <c r="J61" s="9" t="s">
        <v>23</v>
      </c>
      <c r="K61" s="9" t="s">
        <v>16</v>
      </c>
      <c r="L61" s="9">
        <v>1.0</v>
      </c>
      <c r="M61" s="22" t="str">
        <f t="shared" si="2"/>
        <v>OK</v>
      </c>
      <c r="N61" s="19">
        <f t="shared" si="3"/>
        <v>1.8</v>
      </c>
      <c r="R61" s="14"/>
      <c r="S61" s="8"/>
      <c r="U61" s="14"/>
      <c r="V61" s="9"/>
    </row>
    <row r="62">
      <c r="A62" s="20" t="s">
        <v>140</v>
      </c>
      <c r="B62" s="20" t="s">
        <v>141</v>
      </c>
      <c r="C62" s="21">
        <v>45223.0</v>
      </c>
      <c r="D62" s="21">
        <v>45235.0</v>
      </c>
      <c r="E62" s="9" t="s">
        <v>29</v>
      </c>
      <c r="F62" s="8">
        <v>4.7</v>
      </c>
      <c r="G62" s="8">
        <v>45.0</v>
      </c>
      <c r="H62" s="9">
        <v>1.0</v>
      </c>
      <c r="I62" s="8">
        <v>32.0</v>
      </c>
      <c r="J62" s="9" t="s">
        <v>19</v>
      </c>
      <c r="K62" s="9" t="s">
        <v>26</v>
      </c>
      <c r="L62" s="9">
        <v>1.0</v>
      </c>
      <c r="M62" s="22" t="str">
        <f t="shared" si="2"/>
        <v>OK</v>
      </c>
      <c r="N62" s="19">
        <f t="shared" si="3"/>
        <v>4.7</v>
      </c>
      <c r="R62" s="14"/>
      <c r="S62" s="8"/>
      <c r="U62" s="14"/>
      <c r="V62" s="9"/>
    </row>
    <row r="63">
      <c r="A63" s="20" t="s">
        <v>142</v>
      </c>
      <c r="B63" s="20" t="s">
        <v>143</v>
      </c>
      <c r="C63" s="21">
        <v>45128.0</v>
      </c>
      <c r="D63" s="21">
        <v>45140.0</v>
      </c>
      <c r="E63" s="9" t="s">
        <v>14</v>
      </c>
      <c r="F63" s="8">
        <v>0.7</v>
      </c>
      <c r="G63" s="8">
        <v>90.0</v>
      </c>
      <c r="H63" s="9">
        <v>1.0</v>
      </c>
      <c r="I63" s="8">
        <v>26.0</v>
      </c>
      <c r="J63" s="9" t="s">
        <v>19</v>
      </c>
      <c r="K63" s="9" t="s">
        <v>26</v>
      </c>
      <c r="L63" s="9">
        <v>0.0</v>
      </c>
      <c r="M63" s="22" t="str">
        <f t="shared" si="2"/>
        <v>OK</v>
      </c>
      <c r="N63" s="19">
        <f t="shared" si="3"/>
        <v>0.7</v>
      </c>
      <c r="R63" s="14"/>
      <c r="S63" s="8"/>
      <c r="U63" s="14"/>
      <c r="V63" s="9"/>
    </row>
    <row r="64">
      <c r="A64" s="20" t="s">
        <v>144</v>
      </c>
      <c r="B64" s="20" t="s">
        <v>145</v>
      </c>
      <c r="C64" s="21">
        <v>45185.0</v>
      </c>
      <c r="D64" s="21">
        <v>45197.0</v>
      </c>
      <c r="E64" s="9" t="s">
        <v>22</v>
      </c>
      <c r="F64" s="8">
        <v>3.3</v>
      </c>
      <c r="G64" s="8">
        <v>9.0</v>
      </c>
      <c r="H64" s="9">
        <v>0.0</v>
      </c>
      <c r="I64" s="8">
        <v>36.0</v>
      </c>
      <c r="J64" s="9" t="s">
        <v>23</v>
      </c>
      <c r="K64" s="9" t="s">
        <v>26</v>
      </c>
      <c r="L64" s="9">
        <v>1.0</v>
      </c>
      <c r="M64" s="22" t="str">
        <f t="shared" si="2"/>
        <v>OK</v>
      </c>
      <c r="N64" s="19">
        <f t="shared" si="3"/>
        <v>3.3</v>
      </c>
      <c r="R64" s="14"/>
      <c r="S64" s="8"/>
      <c r="U64" s="14"/>
      <c r="V64" s="9"/>
    </row>
    <row r="65">
      <c r="A65" s="20" t="s">
        <v>146</v>
      </c>
      <c r="B65" s="20" t="s">
        <v>147</v>
      </c>
      <c r="C65" s="21">
        <v>44986.0</v>
      </c>
      <c r="D65" s="21">
        <v>44998.0</v>
      </c>
      <c r="E65" s="9" t="s">
        <v>38</v>
      </c>
      <c r="F65" s="8">
        <v>2.9</v>
      </c>
      <c r="G65" s="8">
        <v>67.0</v>
      </c>
      <c r="H65" s="9">
        <v>1.0</v>
      </c>
      <c r="I65" s="8">
        <v>14.0</v>
      </c>
      <c r="J65" s="9" t="s">
        <v>19</v>
      </c>
      <c r="K65" s="9" t="s">
        <v>26</v>
      </c>
      <c r="L65" s="9">
        <v>1.0</v>
      </c>
      <c r="M65" s="22" t="str">
        <f t="shared" si="2"/>
        <v>OK</v>
      </c>
      <c r="N65" s="19">
        <f t="shared" si="3"/>
        <v>2.9</v>
      </c>
      <c r="R65" s="14"/>
      <c r="S65" s="8"/>
      <c r="U65" s="14"/>
      <c r="V65" s="9"/>
    </row>
    <row r="66">
      <c r="A66" s="20" t="s">
        <v>148</v>
      </c>
      <c r="B66" s="20" t="s">
        <v>149</v>
      </c>
      <c r="C66" s="21">
        <v>45193.0</v>
      </c>
      <c r="D66" s="21">
        <v>45205.0</v>
      </c>
      <c r="E66" s="9" t="s">
        <v>14</v>
      </c>
      <c r="F66" s="8">
        <v>1.0</v>
      </c>
      <c r="G66" s="8">
        <v>22.0</v>
      </c>
      <c r="H66" s="9">
        <v>1.0</v>
      </c>
      <c r="I66" s="8">
        <v>19.0</v>
      </c>
      <c r="J66" s="9" t="s">
        <v>19</v>
      </c>
      <c r="K66" s="9" t="s">
        <v>47</v>
      </c>
      <c r="L66" s="9">
        <v>1.0</v>
      </c>
      <c r="M66" s="22" t="str">
        <f t="shared" si="2"/>
        <v>OK</v>
      </c>
      <c r="N66" s="19">
        <f t="shared" si="3"/>
        <v>1</v>
      </c>
      <c r="R66" s="14"/>
      <c r="S66" s="8"/>
      <c r="U66" s="14"/>
      <c r="V66" s="9"/>
    </row>
    <row r="67">
      <c r="A67" s="20" t="s">
        <v>150</v>
      </c>
      <c r="B67" s="20" t="s">
        <v>151</v>
      </c>
      <c r="C67" s="21">
        <v>45128.0</v>
      </c>
      <c r="D67" s="21">
        <v>45140.0</v>
      </c>
      <c r="E67" s="9" t="s">
        <v>29</v>
      </c>
      <c r="F67" s="8">
        <v>4.0</v>
      </c>
      <c r="G67" s="8">
        <v>83.0</v>
      </c>
      <c r="H67" s="9">
        <v>1.0</v>
      </c>
      <c r="I67" s="8">
        <v>13.0</v>
      </c>
      <c r="J67" s="9" t="s">
        <v>15</v>
      </c>
      <c r="K67" s="9" t="s">
        <v>47</v>
      </c>
      <c r="L67" s="9">
        <v>0.0</v>
      </c>
      <c r="M67" s="22" t="str">
        <f t="shared" si="2"/>
        <v>OK</v>
      </c>
      <c r="N67" s="19">
        <f t="shared" si="3"/>
        <v>4</v>
      </c>
      <c r="R67" s="14"/>
      <c r="S67" s="8"/>
      <c r="U67" s="14"/>
      <c r="V67" s="9"/>
    </row>
    <row r="68">
      <c r="A68" s="20" t="s">
        <v>152</v>
      </c>
      <c r="B68" s="20" t="s">
        <v>153</v>
      </c>
      <c r="C68" s="21">
        <v>45054.0</v>
      </c>
      <c r="D68" s="21">
        <v>45066.0</v>
      </c>
      <c r="E68" s="9" t="s">
        <v>29</v>
      </c>
      <c r="F68" s="8">
        <v>3.5</v>
      </c>
      <c r="G68" s="8">
        <v>53.0</v>
      </c>
      <c r="H68" s="9">
        <v>1.0</v>
      </c>
      <c r="I68" s="8">
        <v>28.0</v>
      </c>
      <c r="J68" s="9" t="s">
        <v>19</v>
      </c>
      <c r="K68" s="9" t="s">
        <v>26</v>
      </c>
      <c r="L68" s="9">
        <v>1.0</v>
      </c>
      <c r="M68" s="22" t="str">
        <f t="shared" si="2"/>
        <v>OK</v>
      </c>
      <c r="N68" s="19">
        <f t="shared" si="3"/>
        <v>3.5</v>
      </c>
      <c r="R68" s="14"/>
      <c r="S68" s="8"/>
      <c r="U68" s="14"/>
      <c r="V68" s="9"/>
    </row>
    <row r="69">
      <c r="A69" s="20" t="s">
        <v>154</v>
      </c>
      <c r="B69" s="20" t="s">
        <v>155</v>
      </c>
      <c r="C69" s="21">
        <v>45017.0</v>
      </c>
      <c r="D69" s="21">
        <v>45029.0</v>
      </c>
      <c r="E69" s="9" t="s">
        <v>38</v>
      </c>
      <c r="F69" s="8">
        <v>2.7</v>
      </c>
      <c r="G69" s="8">
        <v>18.0</v>
      </c>
      <c r="H69" s="9">
        <v>1.0</v>
      </c>
      <c r="I69" s="8">
        <v>46.0</v>
      </c>
      <c r="J69" s="9" t="s">
        <v>15</v>
      </c>
      <c r="K69" s="9" t="s">
        <v>16</v>
      </c>
      <c r="L69" s="9">
        <v>1.0</v>
      </c>
      <c r="M69" s="22" t="str">
        <f t="shared" si="2"/>
        <v>OK</v>
      </c>
      <c r="N69" s="19">
        <f t="shared" si="3"/>
        <v>2.7</v>
      </c>
      <c r="R69" s="14"/>
      <c r="S69" s="8"/>
      <c r="U69" s="14"/>
      <c r="V69" s="9"/>
    </row>
    <row r="70">
      <c r="A70" s="20" t="s">
        <v>156</v>
      </c>
      <c r="B70" s="20" t="s">
        <v>157</v>
      </c>
      <c r="C70" s="21">
        <v>45034.0</v>
      </c>
      <c r="D70" s="21">
        <v>45046.0</v>
      </c>
      <c r="E70" s="9" t="s">
        <v>29</v>
      </c>
      <c r="F70" s="8">
        <v>3.0</v>
      </c>
      <c r="G70" s="8">
        <v>88.0</v>
      </c>
      <c r="H70" s="9">
        <v>1.0</v>
      </c>
      <c r="I70" s="8">
        <v>55.0</v>
      </c>
      <c r="J70" s="9" t="s">
        <v>23</v>
      </c>
      <c r="K70" s="9" t="s">
        <v>16</v>
      </c>
      <c r="L70" s="9">
        <v>1.0</v>
      </c>
      <c r="M70" s="22" t="str">
        <f t="shared" si="2"/>
        <v>OK</v>
      </c>
      <c r="N70" s="19">
        <f t="shared" si="3"/>
        <v>3</v>
      </c>
      <c r="R70" s="14"/>
      <c r="S70" s="8"/>
      <c r="U70" s="14"/>
      <c r="V70" s="9"/>
    </row>
    <row r="71">
      <c r="A71" s="20" t="s">
        <v>158</v>
      </c>
      <c r="B71" s="20" t="s">
        <v>159</v>
      </c>
      <c r="C71" s="21">
        <v>45180.0</v>
      </c>
      <c r="D71" s="21">
        <v>45192.0</v>
      </c>
      <c r="E71" s="9" t="s">
        <v>14</v>
      </c>
      <c r="F71" s="8">
        <v>2.8</v>
      </c>
      <c r="G71" s="8">
        <v>42.0</v>
      </c>
      <c r="H71" s="9">
        <v>1.0</v>
      </c>
      <c r="I71" s="8">
        <v>23.0</v>
      </c>
      <c r="J71" s="9" t="s">
        <v>23</v>
      </c>
      <c r="K71" s="9" t="s">
        <v>16</v>
      </c>
      <c r="L71" s="9">
        <v>0.0</v>
      </c>
      <c r="M71" s="22" t="str">
        <f t="shared" si="2"/>
        <v>OK</v>
      </c>
      <c r="N71" s="19">
        <f t="shared" si="3"/>
        <v>2.8</v>
      </c>
      <c r="R71" s="14"/>
      <c r="S71" s="8"/>
      <c r="U71" s="14"/>
      <c r="V71" s="9"/>
    </row>
    <row r="72">
      <c r="A72" s="20" t="s">
        <v>160</v>
      </c>
      <c r="B72" s="20" t="s">
        <v>161</v>
      </c>
      <c r="C72" s="21">
        <v>45191.0</v>
      </c>
      <c r="D72" s="21">
        <v>45203.0</v>
      </c>
      <c r="E72" s="9" t="s">
        <v>22</v>
      </c>
      <c r="F72" s="8">
        <v>2.4</v>
      </c>
      <c r="G72" s="8">
        <v>33.0</v>
      </c>
      <c r="H72" s="9">
        <v>1.0</v>
      </c>
      <c r="I72" s="8">
        <v>54.0</v>
      </c>
      <c r="J72" s="9" t="s">
        <v>35</v>
      </c>
      <c r="K72" s="9" t="s">
        <v>16</v>
      </c>
      <c r="L72" s="9">
        <v>0.0</v>
      </c>
      <c r="M72" s="22" t="str">
        <f t="shared" si="2"/>
        <v>OK</v>
      </c>
      <c r="N72" s="19">
        <f t="shared" si="3"/>
        <v>2.4</v>
      </c>
      <c r="R72" s="14"/>
      <c r="S72" s="8"/>
      <c r="U72" s="14"/>
      <c r="V72" s="9"/>
    </row>
    <row r="73">
      <c r="A73" s="20" t="s">
        <v>162</v>
      </c>
      <c r="B73" s="20" t="s">
        <v>163</v>
      </c>
      <c r="C73" s="21">
        <v>45220.0</v>
      </c>
      <c r="D73" s="21">
        <v>45232.0</v>
      </c>
      <c r="E73" s="9" t="s">
        <v>22</v>
      </c>
      <c r="F73" s="8">
        <v>4.2</v>
      </c>
      <c r="G73" s="8">
        <v>99.0</v>
      </c>
      <c r="H73" s="9">
        <v>0.0</v>
      </c>
      <c r="I73" s="8">
        <v>33.0</v>
      </c>
      <c r="J73" s="9" t="s">
        <v>32</v>
      </c>
      <c r="K73" s="9" t="s">
        <v>16</v>
      </c>
      <c r="L73" s="9">
        <v>1.0</v>
      </c>
      <c r="M73" s="22" t="str">
        <f t="shared" si="2"/>
        <v>OK</v>
      </c>
      <c r="N73" s="19">
        <f t="shared" si="3"/>
        <v>4.2</v>
      </c>
      <c r="R73" s="14"/>
      <c r="S73" s="8"/>
      <c r="U73" s="14"/>
      <c r="V73" s="9"/>
    </row>
    <row r="74">
      <c r="A74" s="20" t="s">
        <v>164</v>
      </c>
      <c r="B74" s="20" t="s">
        <v>165</v>
      </c>
      <c r="C74" s="21">
        <v>45153.0</v>
      </c>
      <c r="D74" s="21">
        <v>45165.0</v>
      </c>
      <c r="E74" s="9" t="s">
        <v>14</v>
      </c>
      <c r="F74" s="8">
        <v>2.5</v>
      </c>
      <c r="G74" s="8">
        <v>19.0</v>
      </c>
      <c r="H74" s="9">
        <v>1.0</v>
      </c>
      <c r="I74" s="8">
        <v>41.0</v>
      </c>
      <c r="J74" s="9" t="s">
        <v>15</v>
      </c>
      <c r="K74" s="9" t="s">
        <v>26</v>
      </c>
      <c r="L74" s="9">
        <v>1.0</v>
      </c>
      <c r="M74" s="22" t="str">
        <f t="shared" si="2"/>
        <v>OK</v>
      </c>
      <c r="N74" s="19">
        <f t="shared" si="3"/>
        <v>2.5</v>
      </c>
      <c r="R74" s="14"/>
      <c r="S74" s="8"/>
      <c r="U74" s="14"/>
      <c r="V74" s="9"/>
    </row>
    <row r="75">
      <c r="A75" s="20" t="s">
        <v>166</v>
      </c>
      <c r="B75" s="20" t="s">
        <v>167</v>
      </c>
      <c r="C75" s="21">
        <v>45173.0</v>
      </c>
      <c r="D75" s="21">
        <v>45185.0</v>
      </c>
      <c r="E75" s="9" t="s">
        <v>22</v>
      </c>
      <c r="F75" s="8">
        <v>2.2</v>
      </c>
      <c r="G75" s="8">
        <v>100.0</v>
      </c>
      <c r="H75" s="9">
        <v>1.0</v>
      </c>
      <c r="I75" s="8">
        <v>48.0</v>
      </c>
      <c r="J75" s="9" t="s">
        <v>35</v>
      </c>
      <c r="K75" s="9" t="s">
        <v>16</v>
      </c>
      <c r="L75" s="9">
        <v>0.0</v>
      </c>
      <c r="M75" s="22" t="str">
        <f t="shared" si="2"/>
        <v>OK</v>
      </c>
      <c r="N75" s="19">
        <f t="shared" si="3"/>
        <v>2.2</v>
      </c>
      <c r="R75" s="14"/>
      <c r="S75" s="8"/>
      <c r="U75" s="14"/>
      <c r="V75" s="9"/>
    </row>
    <row r="76">
      <c r="A76" s="20" t="s">
        <v>168</v>
      </c>
      <c r="B76" s="20" t="s">
        <v>169</v>
      </c>
      <c r="C76" s="21">
        <v>45029.0</v>
      </c>
      <c r="D76" s="21">
        <v>45041.0</v>
      </c>
      <c r="E76" s="9" t="s">
        <v>29</v>
      </c>
      <c r="F76" s="8">
        <v>4.6</v>
      </c>
      <c r="G76" s="8">
        <v>79.0</v>
      </c>
      <c r="H76" s="9">
        <v>1.0</v>
      </c>
      <c r="I76" s="8">
        <v>17.0</v>
      </c>
      <c r="J76" s="9" t="s">
        <v>35</v>
      </c>
      <c r="K76" s="9" t="s">
        <v>16</v>
      </c>
      <c r="L76" s="9">
        <v>0.0</v>
      </c>
      <c r="M76" s="22" t="str">
        <f t="shared" si="2"/>
        <v>OK</v>
      </c>
      <c r="N76" s="19">
        <f t="shared" si="3"/>
        <v>4.6</v>
      </c>
      <c r="R76" s="14"/>
      <c r="S76" s="8"/>
      <c r="U76" s="14"/>
      <c r="V76" s="9"/>
    </row>
    <row r="77">
      <c r="A77" s="20" t="s">
        <v>170</v>
      </c>
      <c r="B77" s="20" t="s">
        <v>171</v>
      </c>
      <c r="C77" s="21">
        <v>45274.0</v>
      </c>
      <c r="D77" s="21">
        <v>45286.0</v>
      </c>
      <c r="E77" s="9" t="s">
        <v>22</v>
      </c>
      <c r="F77" s="8">
        <v>3.8</v>
      </c>
      <c r="G77" s="8">
        <v>52.0</v>
      </c>
      <c r="H77" s="9">
        <v>0.0</v>
      </c>
      <c r="I77" s="8">
        <v>35.0</v>
      </c>
      <c r="J77" s="9" t="s">
        <v>15</v>
      </c>
      <c r="K77" s="9" t="s">
        <v>26</v>
      </c>
      <c r="L77" s="9">
        <v>1.0</v>
      </c>
      <c r="M77" s="22" t="str">
        <f t="shared" si="2"/>
        <v>OK</v>
      </c>
      <c r="N77" s="19">
        <f t="shared" si="3"/>
        <v>3.8</v>
      </c>
      <c r="R77" s="14"/>
      <c r="S77" s="8"/>
      <c r="U77" s="14"/>
      <c r="V77" s="9"/>
    </row>
    <row r="78">
      <c r="A78" s="20" t="s">
        <v>172</v>
      </c>
      <c r="B78" s="20" t="s">
        <v>173</v>
      </c>
      <c r="C78" s="21">
        <v>45167.0</v>
      </c>
      <c r="D78" s="21">
        <v>45179.0</v>
      </c>
      <c r="E78" s="9" t="s">
        <v>22</v>
      </c>
      <c r="F78" s="8">
        <v>4.8</v>
      </c>
      <c r="G78" s="8">
        <v>39.0</v>
      </c>
      <c r="H78" s="9">
        <v>1.0</v>
      </c>
      <c r="I78" s="8">
        <v>16.0</v>
      </c>
      <c r="J78" s="9" t="s">
        <v>32</v>
      </c>
      <c r="K78" s="9" t="s">
        <v>16</v>
      </c>
      <c r="L78" s="9">
        <v>1.0</v>
      </c>
      <c r="M78" s="22" t="str">
        <f t="shared" si="2"/>
        <v>OK</v>
      </c>
      <c r="N78" s="19">
        <f t="shared" si="3"/>
        <v>4.8</v>
      </c>
      <c r="R78" s="14"/>
      <c r="S78" s="8"/>
      <c r="U78" s="14"/>
      <c r="V78" s="9"/>
    </row>
    <row r="79">
      <c r="A79" s="20" t="s">
        <v>174</v>
      </c>
      <c r="B79" s="20" t="s">
        <v>175</v>
      </c>
      <c r="C79" s="21">
        <v>45172.0</v>
      </c>
      <c r="D79" s="21">
        <v>45184.0</v>
      </c>
      <c r="E79" s="9" t="s">
        <v>14</v>
      </c>
      <c r="F79" s="8">
        <v>4.3</v>
      </c>
      <c r="G79" s="8">
        <v>65.0</v>
      </c>
      <c r="H79" s="9">
        <v>0.0</v>
      </c>
      <c r="I79" s="8">
        <v>27.0</v>
      </c>
      <c r="J79" s="9" t="s">
        <v>19</v>
      </c>
      <c r="K79" s="9" t="s">
        <v>47</v>
      </c>
      <c r="L79" s="9">
        <v>0.0</v>
      </c>
      <c r="M79" s="22" t="str">
        <f t="shared" si="2"/>
        <v>OK</v>
      </c>
      <c r="N79" s="19">
        <f t="shared" si="3"/>
        <v>4.3</v>
      </c>
      <c r="R79" s="14"/>
      <c r="S79" s="8"/>
      <c r="U79" s="14"/>
      <c r="V79" s="9"/>
    </row>
    <row r="80">
      <c r="A80" s="20" t="s">
        <v>176</v>
      </c>
      <c r="B80" s="20" t="s">
        <v>177</v>
      </c>
      <c r="C80" s="21">
        <v>45202.0</v>
      </c>
      <c r="D80" s="21">
        <v>45214.0</v>
      </c>
      <c r="E80" s="9" t="s">
        <v>38</v>
      </c>
      <c r="F80" s="8">
        <v>0.4</v>
      </c>
      <c r="G80" s="8">
        <v>31.0</v>
      </c>
      <c r="H80" s="9">
        <v>1.0</v>
      </c>
      <c r="I80" s="8">
        <v>12.0</v>
      </c>
      <c r="J80" s="9" t="s">
        <v>15</v>
      </c>
      <c r="K80" s="9" t="s">
        <v>26</v>
      </c>
      <c r="L80" s="9">
        <v>0.0</v>
      </c>
      <c r="M80" s="22" t="str">
        <f t="shared" si="2"/>
        <v>OK</v>
      </c>
      <c r="N80" s="19">
        <f t="shared" si="3"/>
        <v>0.4</v>
      </c>
      <c r="R80" s="14"/>
      <c r="S80" s="8"/>
      <c r="U80" s="14"/>
      <c r="V80" s="9"/>
    </row>
    <row r="81">
      <c r="A81" s="20" t="s">
        <v>178</v>
      </c>
      <c r="B81" s="20" t="s">
        <v>179</v>
      </c>
      <c r="C81" s="21">
        <v>45218.0</v>
      </c>
      <c r="D81" s="21">
        <v>45230.0</v>
      </c>
      <c r="E81" s="9" t="s">
        <v>22</v>
      </c>
      <c r="F81" s="8">
        <v>0.2</v>
      </c>
      <c r="G81" s="8">
        <v>35.0</v>
      </c>
      <c r="H81" s="9">
        <v>1.0</v>
      </c>
      <c r="I81" s="8">
        <v>15.0</v>
      </c>
      <c r="J81" s="9" t="s">
        <v>23</v>
      </c>
      <c r="K81" s="9" t="s">
        <v>16</v>
      </c>
      <c r="L81" s="9">
        <v>0.0</v>
      </c>
      <c r="M81" s="22" t="str">
        <f t="shared" si="2"/>
        <v>OK</v>
      </c>
      <c r="N81" s="19">
        <f t="shared" si="3"/>
        <v>0.2</v>
      </c>
      <c r="R81" s="14"/>
      <c r="S81" s="8"/>
      <c r="U81" s="14"/>
      <c r="V81" s="9"/>
    </row>
    <row r="82">
      <c r="A82" s="20" t="s">
        <v>180</v>
      </c>
      <c r="B82" s="20" t="s">
        <v>181</v>
      </c>
      <c r="C82" s="21">
        <v>45051.0</v>
      </c>
      <c r="D82" s="21">
        <v>45063.0</v>
      </c>
      <c r="E82" s="9" t="s">
        <v>38</v>
      </c>
      <c r="F82" s="8">
        <v>3.2</v>
      </c>
      <c r="G82" s="8">
        <v>94.0</v>
      </c>
      <c r="H82" s="9">
        <v>0.0</v>
      </c>
      <c r="I82" s="8">
        <v>56.0</v>
      </c>
      <c r="J82" s="9" t="s">
        <v>19</v>
      </c>
      <c r="K82" s="9" t="s">
        <v>16</v>
      </c>
      <c r="L82" s="9">
        <v>1.0</v>
      </c>
      <c r="M82" s="22" t="str">
        <f t="shared" si="2"/>
        <v>OK</v>
      </c>
      <c r="N82" s="19">
        <f t="shared" si="3"/>
        <v>3.2</v>
      </c>
      <c r="R82" s="14"/>
      <c r="S82" s="8"/>
      <c r="U82" s="14"/>
      <c r="V82" s="9"/>
    </row>
    <row r="83">
      <c r="A83" s="20" t="s">
        <v>182</v>
      </c>
      <c r="B83" s="20" t="s">
        <v>183</v>
      </c>
      <c r="C83" s="21">
        <v>45257.0</v>
      </c>
      <c r="D83" s="21">
        <v>45269.0</v>
      </c>
      <c r="E83" s="9" t="s">
        <v>22</v>
      </c>
      <c r="F83" s="8">
        <v>4.1</v>
      </c>
      <c r="G83" s="8">
        <v>21.0</v>
      </c>
      <c r="H83" s="9">
        <v>1.0</v>
      </c>
      <c r="I83" s="8">
        <v>20.0</v>
      </c>
      <c r="J83" s="9" t="s">
        <v>35</v>
      </c>
      <c r="K83" s="9" t="s">
        <v>16</v>
      </c>
      <c r="L83" s="9">
        <v>1.0</v>
      </c>
      <c r="M83" s="22" t="str">
        <f t="shared" si="2"/>
        <v>OK</v>
      </c>
      <c r="N83" s="19">
        <f t="shared" si="3"/>
        <v>4.1</v>
      </c>
      <c r="R83" s="14"/>
      <c r="S83" s="8"/>
      <c r="U83" s="14"/>
      <c r="V83" s="9"/>
    </row>
    <row r="84">
      <c r="A84" s="20" t="s">
        <v>184</v>
      </c>
      <c r="B84" s="20" t="s">
        <v>185</v>
      </c>
      <c r="C84" s="21">
        <v>45232.0</v>
      </c>
      <c r="D84" s="21">
        <v>45244.0</v>
      </c>
      <c r="E84" s="9" t="s">
        <v>22</v>
      </c>
      <c r="F84" s="8">
        <v>3.4</v>
      </c>
      <c r="G84" s="8">
        <v>54.0</v>
      </c>
      <c r="H84" s="9">
        <v>1.0</v>
      </c>
      <c r="I84" s="8">
        <v>31.0</v>
      </c>
      <c r="J84" s="9" t="s">
        <v>35</v>
      </c>
      <c r="K84" s="9" t="s">
        <v>47</v>
      </c>
      <c r="L84" s="9">
        <v>0.0</v>
      </c>
      <c r="M84" s="22" t="str">
        <f t="shared" si="2"/>
        <v>OK</v>
      </c>
      <c r="N84" s="19">
        <f t="shared" si="3"/>
        <v>3.4</v>
      </c>
      <c r="R84" s="14"/>
      <c r="S84" s="8"/>
      <c r="U84" s="14"/>
      <c r="V84" s="9"/>
    </row>
    <row r="85">
      <c r="A85" s="20" t="s">
        <v>186</v>
      </c>
      <c r="B85" s="20" t="s">
        <v>187</v>
      </c>
      <c r="C85" s="21">
        <v>45073.0</v>
      </c>
      <c r="D85" s="21">
        <v>45085.0</v>
      </c>
      <c r="E85" s="9" t="s">
        <v>38</v>
      </c>
      <c r="F85" s="8">
        <v>5.0</v>
      </c>
      <c r="G85" s="8">
        <v>97.0</v>
      </c>
      <c r="H85" s="9">
        <v>1.0</v>
      </c>
      <c r="I85" s="8">
        <v>39.0</v>
      </c>
      <c r="J85" s="9" t="s">
        <v>35</v>
      </c>
      <c r="K85" s="9" t="s">
        <v>16</v>
      </c>
      <c r="L85" s="9">
        <v>1.0</v>
      </c>
      <c r="M85" s="22" t="str">
        <f t="shared" si="2"/>
        <v>OK</v>
      </c>
      <c r="N85" s="19">
        <f t="shared" si="3"/>
        <v>5</v>
      </c>
      <c r="R85" s="14"/>
      <c r="S85" s="8"/>
      <c r="U85" s="14"/>
      <c r="V85" s="9"/>
    </row>
    <row r="86">
      <c r="A86" s="20" t="s">
        <v>188</v>
      </c>
      <c r="B86" s="20" t="s">
        <v>189</v>
      </c>
      <c r="C86" s="21">
        <v>45187.0</v>
      </c>
      <c r="D86" s="21">
        <v>45199.0</v>
      </c>
      <c r="E86" s="9" t="s">
        <v>22</v>
      </c>
      <c r="F86" s="8">
        <v>1.9</v>
      </c>
      <c r="G86" s="8">
        <v>72.0</v>
      </c>
      <c r="H86" s="9">
        <v>1.0</v>
      </c>
      <c r="I86" s="8">
        <v>30.0</v>
      </c>
      <c r="J86" s="9" t="s">
        <v>23</v>
      </c>
      <c r="K86" s="9" t="s">
        <v>47</v>
      </c>
      <c r="L86" s="9">
        <v>0.0</v>
      </c>
      <c r="M86" s="22" t="str">
        <f t="shared" si="2"/>
        <v>OK</v>
      </c>
      <c r="N86" s="19">
        <f t="shared" si="3"/>
        <v>1.9</v>
      </c>
      <c r="R86" s="14"/>
      <c r="S86" s="8"/>
      <c r="U86" s="14"/>
      <c r="V86" s="9"/>
    </row>
    <row r="87">
      <c r="A87" s="20" t="s">
        <v>190</v>
      </c>
      <c r="B87" s="20" t="s">
        <v>191</v>
      </c>
      <c r="C87" s="21">
        <v>45232.0</v>
      </c>
      <c r="D87" s="21">
        <v>45244.0</v>
      </c>
      <c r="E87" s="9" t="s">
        <v>38</v>
      </c>
      <c r="F87" s="8">
        <v>0.1</v>
      </c>
      <c r="G87" s="8">
        <v>55.0</v>
      </c>
      <c r="H87" s="9">
        <v>1.0</v>
      </c>
      <c r="I87" s="8">
        <v>21.0</v>
      </c>
      <c r="J87" s="9" t="s">
        <v>15</v>
      </c>
      <c r="K87" s="9" t="s">
        <v>26</v>
      </c>
      <c r="L87" s="9">
        <v>0.0</v>
      </c>
      <c r="M87" s="22" t="str">
        <f t="shared" si="2"/>
        <v>OK</v>
      </c>
      <c r="N87" s="19">
        <f t="shared" si="3"/>
        <v>0.1</v>
      </c>
      <c r="R87" s="14"/>
      <c r="S87" s="8"/>
      <c r="U87" s="14"/>
      <c r="V87" s="9"/>
    </row>
    <row r="88">
      <c r="A88" s="20" t="s">
        <v>192</v>
      </c>
      <c r="B88" s="20" t="s">
        <v>193</v>
      </c>
      <c r="C88" s="21">
        <v>45196.0</v>
      </c>
      <c r="D88" s="21">
        <v>45208.0</v>
      </c>
      <c r="E88" s="9" t="s">
        <v>14</v>
      </c>
      <c r="F88" s="8">
        <v>2.1</v>
      </c>
      <c r="G88" s="8">
        <v>64.0</v>
      </c>
      <c r="H88" s="9">
        <v>0.0</v>
      </c>
      <c r="I88" s="8">
        <v>24.0</v>
      </c>
      <c r="J88" s="9" t="s">
        <v>35</v>
      </c>
      <c r="K88" s="9" t="s">
        <v>26</v>
      </c>
      <c r="L88" s="9">
        <v>1.0</v>
      </c>
      <c r="M88" s="22" t="str">
        <f t="shared" si="2"/>
        <v>OK</v>
      </c>
      <c r="N88" s="19">
        <f t="shared" si="3"/>
        <v>2.1</v>
      </c>
      <c r="R88" s="14"/>
      <c r="S88" s="8"/>
      <c r="U88" s="14"/>
      <c r="V88" s="9"/>
    </row>
    <row r="89">
      <c r="A89" s="20" t="s">
        <v>194</v>
      </c>
      <c r="B89" s="20" t="s">
        <v>195</v>
      </c>
      <c r="C89" s="21">
        <v>45031.0</v>
      </c>
      <c r="D89" s="21">
        <v>45043.0</v>
      </c>
      <c r="E89" s="9" t="s">
        <v>14</v>
      </c>
      <c r="F89" s="8">
        <v>1.2</v>
      </c>
      <c r="G89" s="8">
        <v>43.0</v>
      </c>
      <c r="H89" s="9">
        <v>0.0</v>
      </c>
      <c r="I89" s="8">
        <v>43.0</v>
      </c>
      <c r="J89" s="9" t="s">
        <v>35</v>
      </c>
      <c r="K89" s="9" t="s">
        <v>47</v>
      </c>
      <c r="L89" s="9">
        <v>1.0</v>
      </c>
      <c r="M89" s="22" t="str">
        <f t="shared" si="2"/>
        <v>OK</v>
      </c>
      <c r="N89" s="19">
        <f t="shared" si="3"/>
        <v>1.2</v>
      </c>
      <c r="R89" s="14"/>
      <c r="S89" s="8"/>
      <c r="U89" s="14"/>
      <c r="V89" s="9"/>
    </row>
    <row r="90">
      <c r="A90" s="20" t="s">
        <v>196</v>
      </c>
      <c r="B90" s="20" t="s">
        <v>197</v>
      </c>
      <c r="C90" s="21">
        <v>45130.0</v>
      </c>
      <c r="D90" s="21">
        <v>45142.0</v>
      </c>
      <c r="E90" s="9" t="s">
        <v>14</v>
      </c>
      <c r="F90" s="8">
        <v>0.8</v>
      </c>
      <c r="G90" s="8">
        <v>61.0</v>
      </c>
      <c r="H90" s="9">
        <v>1.0</v>
      </c>
      <c r="I90" s="8">
        <v>51.0</v>
      </c>
      <c r="J90" s="9" t="s">
        <v>32</v>
      </c>
      <c r="K90" s="9" t="s">
        <v>16</v>
      </c>
      <c r="L90" s="9">
        <v>0.0</v>
      </c>
      <c r="M90" s="22" t="str">
        <f t="shared" si="2"/>
        <v>OK</v>
      </c>
      <c r="N90" s="19">
        <f t="shared" si="3"/>
        <v>0.8</v>
      </c>
      <c r="R90" s="14"/>
      <c r="S90" s="8"/>
      <c r="U90" s="14"/>
      <c r="V90" s="9"/>
    </row>
    <row r="91">
      <c r="A91" s="20" t="s">
        <v>198</v>
      </c>
      <c r="B91" s="20" t="s">
        <v>199</v>
      </c>
      <c r="C91" s="21">
        <v>44988.0</v>
      </c>
      <c r="D91" s="21">
        <v>45000.0</v>
      </c>
      <c r="E91" s="9" t="s">
        <v>22</v>
      </c>
      <c r="F91" s="8">
        <v>4.5</v>
      </c>
      <c r="G91" s="8">
        <v>96.0</v>
      </c>
      <c r="H91" s="9">
        <v>1.0</v>
      </c>
      <c r="I91" s="8">
        <v>49.0</v>
      </c>
      <c r="J91" s="9" t="s">
        <v>19</v>
      </c>
      <c r="K91" s="9" t="s">
        <v>47</v>
      </c>
      <c r="L91" s="9">
        <v>0.0</v>
      </c>
      <c r="M91" s="22" t="str">
        <f t="shared" si="2"/>
        <v>OK</v>
      </c>
      <c r="N91" s="19">
        <f t="shared" si="3"/>
        <v>4.5</v>
      </c>
      <c r="R91" s="14"/>
      <c r="S91" s="8"/>
      <c r="U91" s="14"/>
      <c r="V91" s="9"/>
    </row>
    <row r="92">
      <c r="A92" s="20" t="s">
        <v>200</v>
      </c>
      <c r="B92" s="20" t="s">
        <v>201</v>
      </c>
      <c r="C92" s="21">
        <v>45281.0</v>
      </c>
      <c r="D92" s="21">
        <v>45293.0</v>
      </c>
      <c r="E92" s="9" t="s">
        <v>14</v>
      </c>
      <c r="F92" s="8">
        <v>3.1</v>
      </c>
      <c r="G92" s="8">
        <v>13.0</v>
      </c>
      <c r="H92" s="9">
        <v>1.0</v>
      </c>
      <c r="I92" s="8">
        <v>52.0</v>
      </c>
      <c r="J92" s="9" t="s">
        <v>35</v>
      </c>
      <c r="K92" s="9" t="s">
        <v>47</v>
      </c>
      <c r="L92" s="9">
        <v>1.0</v>
      </c>
      <c r="M92" s="22" t="str">
        <f t="shared" si="2"/>
        <v>OK</v>
      </c>
      <c r="N92" s="19">
        <f t="shared" si="3"/>
        <v>3.1</v>
      </c>
      <c r="R92" s="14"/>
      <c r="S92" s="8"/>
      <c r="U92" s="14"/>
      <c r="V92" s="9"/>
    </row>
    <row r="93">
      <c r="A93" s="20" t="s">
        <v>202</v>
      </c>
      <c r="B93" s="20" t="s">
        <v>203</v>
      </c>
      <c r="C93" s="21">
        <v>45200.0</v>
      </c>
      <c r="D93" s="21">
        <v>45212.0</v>
      </c>
      <c r="E93" s="9" t="s">
        <v>22</v>
      </c>
      <c r="F93" s="8">
        <v>0.3</v>
      </c>
      <c r="G93" s="8">
        <v>75.0</v>
      </c>
      <c r="H93" s="9">
        <v>1.0</v>
      </c>
      <c r="I93" s="8">
        <v>40.0</v>
      </c>
      <c r="J93" s="9" t="s">
        <v>32</v>
      </c>
      <c r="K93" s="9" t="s">
        <v>16</v>
      </c>
      <c r="L93" s="9">
        <v>0.0</v>
      </c>
      <c r="M93" s="22" t="str">
        <f t="shared" si="2"/>
        <v>OK</v>
      </c>
      <c r="N93" s="19">
        <f t="shared" si="3"/>
        <v>0.3</v>
      </c>
      <c r="R93" s="14"/>
      <c r="S93" s="8"/>
      <c r="U93" s="14"/>
      <c r="V93" s="9"/>
    </row>
    <row r="94">
      <c r="A94" s="20" t="s">
        <v>204</v>
      </c>
      <c r="B94" s="20" t="s">
        <v>205</v>
      </c>
      <c r="C94" s="21">
        <v>45125.0</v>
      </c>
      <c r="D94" s="21">
        <v>45137.0</v>
      </c>
      <c r="E94" s="9" t="s">
        <v>29</v>
      </c>
      <c r="F94" s="8">
        <v>4.4</v>
      </c>
      <c r="G94" s="8">
        <v>3.0</v>
      </c>
      <c r="H94" s="9">
        <v>0.0</v>
      </c>
      <c r="I94" s="8">
        <v>22.0</v>
      </c>
      <c r="J94" s="9" t="s">
        <v>19</v>
      </c>
      <c r="K94" s="9" t="s">
        <v>47</v>
      </c>
      <c r="L94" s="9">
        <v>1.0</v>
      </c>
      <c r="M94" s="22" t="str">
        <f t="shared" si="2"/>
        <v>OK</v>
      </c>
      <c r="N94" s="19">
        <f t="shared" si="3"/>
        <v>4.4</v>
      </c>
      <c r="R94" s="14"/>
      <c r="S94" s="8"/>
      <c r="U94" s="14"/>
      <c r="V94" s="9"/>
    </row>
    <row r="95">
      <c r="A95" s="20" t="s">
        <v>206</v>
      </c>
      <c r="B95" s="20" t="s">
        <v>207</v>
      </c>
      <c r="C95" s="21">
        <v>44951.0</v>
      </c>
      <c r="D95" s="21">
        <v>44963.0</v>
      </c>
      <c r="E95" s="9" t="s">
        <v>29</v>
      </c>
      <c r="F95" s="8">
        <v>1.6</v>
      </c>
      <c r="G95" s="8">
        <v>34.0</v>
      </c>
      <c r="H95" s="9">
        <v>0.0</v>
      </c>
      <c r="I95" s="8">
        <v>31.0</v>
      </c>
      <c r="J95" s="9" t="s">
        <v>15</v>
      </c>
      <c r="K95" s="9" t="s">
        <v>47</v>
      </c>
      <c r="L95" s="9">
        <v>1.0</v>
      </c>
      <c r="M95" s="22" t="str">
        <f t="shared" si="2"/>
        <v>OK</v>
      </c>
      <c r="N95" s="19">
        <f t="shared" si="3"/>
        <v>1.6</v>
      </c>
      <c r="R95" s="14"/>
      <c r="S95" s="8"/>
      <c r="U95" s="14"/>
      <c r="V95" s="9"/>
    </row>
    <row r="96">
      <c r="A96" s="20" t="s">
        <v>208</v>
      </c>
      <c r="B96" s="20" t="s">
        <v>209</v>
      </c>
      <c r="C96" s="21">
        <v>45020.0</v>
      </c>
      <c r="D96" s="21">
        <v>45032.0</v>
      </c>
      <c r="E96" s="9" t="s">
        <v>22</v>
      </c>
      <c r="F96" s="8">
        <v>3.7</v>
      </c>
      <c r="G96" s="8">
        <v>89.0</v>
      </c>
      <c r="H96" s="9">
        <v>0.0</v>
      </c>
      <c r="I96" s="8">
        <v>52.0</v>
      </c>
      <c r="J96" s="9" t="s">
        <v>23</v>
      </c>
      <c r="K96" s="9" t="s">
        <v>26</v>
      </c>
      <c r="L96" s="9">
        <v>1.0</v>
      </c>
      <c r="M96" s="22" t="str">
        <f t="shared" si="2"/>
        <v>OK</v>
      </c>
      <c r="N96" s="19">
        <f t="shared" si="3"/>
        <v>3.7</v>
      </c>
      <c r="R96" s="14"/>
      <c r="S96" s="8"/>
      <c r="U96" s="14"/>
      <c r="V96" s="9"/>
    </row>
    <row r="97">
      <c r="A97" s="20" t="s">
        <v>210</v>
      </c>
      <c r="B97" s="20" t="s">
        <v>211</v>
      </c>
      <c r="C97" s="21">
        <v>45148.0</v>
      </c>
      <c r="D97" s="21">
        <v>45160.0</v>
      </c>
      <c r="E97" s="9" t="s">
        <v>14</v>
      </c>
      <c r="F97" s="8">
        <v>1.4</v>
      </c>
      <c r="G97" s="8">
        <v>25.0</v>
      </c>
      <c r="H97" s="9">
        <v>0.0</v>
      </c>
      <c r="I97" s="8">
        <v>45.0</v>
      </c>
      <c r="J97" s="9" t="s">
        <v>15</v>
      </c>
      <c r="K97" s="9" t="s">
        <v>47</v>
      </c>
      <c r="L97" s="9">
        <v>1.0</v>
      </c>
      <c r="M97" s="22" t="str">
        <f t="shared" si="2"/>
        <v>OK</v>
      </c>
      <c r="N97" s="19">
        <f t="shared" si="3"/>
        <v>1.4</v>
      </c>
      <c r="R97" s="14"/>
      <c r="S97" s="8"/>
      <c r="U97" s="14"/>
      <c r="V97" s="9"/>
    </row>
    <row r="98">
      <c r="A98" s="20" t="s">
        <v>212</v>
      </c>
      <c r="B98" s="20" t="s">
        <v>213</v>
      </c>
      <c r="C98" s="21">
        <v>44993.0</v>
      </c>
      <c r="D98" s="21">
        <v>45005.0</v>
      </c>
      <c r="E98" s="9" t="s">
        <v>22</v>
      </c>
      <c r="F98" s="8">
        <v>0.9</v>
      </c>
      <c r="G98" s="8">
        <v>73.0</v>
      </c>
      <c r="H98" s="9">
        <v>0.0</v>
      </c>
      <c r="I98" s="8">
        <v>18.0</v>
      </c>
      <c r="J98" s="9" t="s">
        <v>19</v>
      </c>
      <c r="K98" s="9" t="s">
        <v>47</v>
      </c>
      <c r="L98" s="9">
        <v>1.0</v>
      </c>
      <c r="M98" s="22" t="str">
        <f t="shared" si="2"/>
        <v>OK</v>
      </c>
      <c r="N98" s="19">
        <f t="shared" si="3"/>
        <v>0.9</v>
      </c>
      <c r="R98" s="14"/>
      <c r="S98" s="8"/>
      <c r="U98" s="14"/>
      <c r="V98" s="9"/>
    </row>
    <row r="99">
      <c r="A99" s="20" t="s">
        <v>214</v>
      </c>
      <c r="B99" s="20" t="s">
        <v>215</v>
      </c>
      <c r="C99" s="21">
        <v>45130.0</v>
      </c>
      <c r="D99" s="21">
        <v>45142.0</v>
      </c>
      <c r="E99" s="9" t="s">
        <v>22</v>
      </c>
      <c r="F99" s="8">
        <v>2.3</v>
      </c>
      <c r="G99" s="8">
        <v>37.0</v>
      </c>
      <c r="H99" s="9">
        <v>1.0</v>
      </c>
      <c r="I99" s="8">
        <v>50.0</v>
      </c>
      <c r="J99" s="9" t="s">
        <v>35</v>
      </c>
      <c r="K99" s="9" t="s">
        <v>26</v>
      </c>
      <c r="L99" s="9">
        <v>0.0</v>
      </c>
      <c r="M99" s="22" t="str">
        <f t="shared" si="2"/>
        <v>OK</v>
      </c>
      <c r="N99" s="19">
        <f t="shared" si="3"/>
        <v>2.3</v>
      </c>
      <c r="R99" s="14"/>
      <c r="S99" s="8"/>
      <c r="U99" s="14"/>
      <c r="V99" s="9"/>
    </row>
    <row r="100">
      <c r="A100" s="20" t="s">
        <v>216</v>
      </c>
      <c r="B100" s="20" t="s">
        <v>217</v>
      </c>
      <c r="C100" s="21">
        <v>44973.0</v>
      </c>
      <c r="D100" s="21">
        <v>44985.0</v>
      </c>
      <c r="E100" s="9" t="s">
        <v>29</v>
      </c>
      <c r="F100" s="8">
        <v>3.6</v>
      </c>
      <c r="G100" s="8">
        <v>86.0</v>
      </c>
      <c r="H100" s="9">
        <v>0.0</v>
      </c>
      <c r="I100" s="8">
        <v>43.0</v>
      </c>
      <c r="J100" s="9" t="s">
        <v>32</v>
      </c>
      <c r="K100" s="9" t="s">
        <v>16</v>
      </c>
      <c r="L100" s="9">
        <v>1.0</v>
      </c>
      <c r="M100" s="22" t="str">
        <f t="shared" si="2"/>
        <v>OK</v>
      </c>
      <c r="N100" s="19">
        <f t="shared" si="3"/>
        <v>3.6</v>
      </c>
      <c r="R100" s="14"/>
      <c r="S100" s="8"/>
      <c r="U100" s="14"/>
      <c r="V100" s="9"/>
    </row>
    <row r="101">
      <c r="A101" s="20" t="s">
        <v>218</v>
      </c>
      <c r="B101" s="20" t="s">
        <v>219</v>
      </c>
      <c r="C101" s="21">
        <v>45095.0</v>
      </c>
      <c r="D101" s="21">
        <v>45107.0</v>
      </c>
      <c r="E101" s="9" t="s">
        <v>14</v>
      </c>
      <c r="F101" s="8">
        <v>1.3</v>
      </c>
      <c r="G101" s="8">
        <v>70.0</v>
      </c>
      <c r="H101" s="9">
        <v>0.0</v>
      </c>
      <c r="I101" s="8">
        <v>39.0</v>
      </c>
      <c r="J101" s="9" t="s">
        <v>19</v>
      </c>
      <c r="K101" s="9" t="s">
        <v>16</v>
      </c>
      <c r="L101" s="9">
        <v>0.0</v>
      </c>
      <c r="M101" s="22" t="str">
        <f t="shared" si="2"/>
        <v>OK</v>
      </c>
      <c r="N101" s="19">
        <f t="shared" si="3"/>
        <v>1.3</v>
      </c>
      <c r="R101" s="14"/>
      <c r="S101" s="8"/>
      <c r="U101" s="14"/>
      <c r="V101" s="9"/>
    </row>
    <row r="102">
      <c r="A102" s="20" t="s">
        <v>220</v>
      </c>
      <c r="B102" s="20" t="s">
        <v>221</v>
      </c>
      <c r="C102" s="21">
        <v>45136.0</v>
      </c>
      <c r="D102" s="21">
        <v>45148.0</v>
      </c>
      <c r="E102" s="9" t="s">
        <v>29</v>
      </c>
      <c r="F102" s="8">
        <v>3.9</v>
      </c>
      <c r="G102" s="8">
        <v>62.0</v>
      </c>
      <c r="H102" s="9">
        <v>1.0</v>
      </c>
      <c r="I102" s="8">
        <v>51.0</v>
      </c>
      <c r="J102" s="9" t="s">
        <v>32</v>
      </c>
      <c r="K102" s="9" t="s">
        <v>47</v>
      </c>
      <c r="L102" s="9">
        <v>1.0</v>
      </c>
      <c r="M102" s="22" t="str">
        <f t="shared" si="2"/>
        <v>OK</v>
      </c>
      <c r="N102" s="19">
        <f t="shared" si="3"/>
        <v>3.9</v>
      </c>
      <c r="R102" s="14"/>
      <c r="S102" s="8"/>
      <c r="U102" s="14"/>
      <c r="V102" s="9"/>
    </row>
    <row r="103">
      <c r="A103" s="20" t="s">
        <v>222</v>
      </c>
      <c r="B103" s="20" t="s">
        <v>223</v>
      </c>
      <c r="C103" s="21">
        <v>45094.0</v>
      </c>
      <c r="D103" s="21">
        <v>45106.0</v>
      </c>
      <c r="E103" s="9" t="s">
        <v>38</v>
      </c>
      <c r="F103" s="8">
        <v>1.5</v>
      </c>
      <c r="G103" s="8">
        <v>93.0</v>
      </c>
      <c r="H103" s="9">
        <v>0.0</v>
      </c>
      <c r="I103" s="8">
        <v>13.0</v>
      </c>
      <c r="J103" s="9" t="s">
        <v>35</v>
      </c>
      <c r="K103" s="9" t="s">
        <v>26</v>
      </c>
      <c r="L103" s="9">
        <v>1.0</v>
      </c>
      <c r="M103" s="22" t="str">
        <f t="shared" si="2"/>
        <v>OK</v>
      </c>
      <c r="N103" s="19">
        <f t="shared" si="3"/>
        <v>1.5</v>
      </c>
      <c r="R103" s="14"/>
      <c r="S103" s="8"/>
      <c r="U103" s="14"/>
      <c r="V103" s="9"/>
    </row>
    <row r="104">
      <c r="A104" s="20" t="s">
        <v>224</v>
      </c>
      <c r="B104" s="20" t="s">
        <v>225</v>
      </c>
      <c r="C104" s="21">
        <v>45192.0</v>
      </c>
      <c r="D104" s="21">
        <v>45204.0</v>
      </c>
      <c r="E104" s="9" t="s">
        <v>22</v>
      </c>
      <c r="F104" s="8">
        <v>0.5</v>
      </c>
      <c r="G104" s="8">
        <v>0.0</v>
      </c>
      <c r="H104" s="9">
        <v>1.0</v>
      </c>
      <c r="I104" s="8">
        <v>49.0</v>
      </c>
      <c r="J104" s="9" t="s">
        <v>23</v>
      </c>
      <c r="K104" s="9" t="s">
        <v>47</v>
      </c>
      <c r="L104" s="9">
        <v>0.0</v>
      </c>
      <c r="M104" s="22" t="str">
        <f t="shared" si="2"/>
        <v>OK</v>
      </c>
      <c r="N104" s="19">
        <f t="shared" si="3"/>
        <v>0.5</v>
      </c>
      <c r="R104" s="14"/>
      <c r="S104" s="8"/>
      <c r="U104" s="14"/>
      <c r="V104" s="9"/>
    </row>
    <row r="105">
      <c r="A105" s="20" t="s">
        <v>226</v>
      </c>
      <c r="B105" s="20" t="s">
        <v>227</v>
      </c>
      <c r="C105" s="21">
        <v>45290.0</v>
      </c>
      <c r="D105" s="21">
        <v>45302.0</v>
      </c>
      <c r="E105" s="9" t="s">
        <v>38</v>
      </c>
      <c r="F105" s="8">
        <v>4.9</v>
      </c>
      <c r="G105" s="8">
        <v>100.0</v>
      </c>
      <c r="H105" s="9">
        <v>1.0</v>
      </c>
      <c r="I105" s="8">
        <v>34.0</v>
      </c>
      <c r="J105" s="9" t="s">
        <v>19</v>
      </c>
      <c r="K105" s="9" t="s">
        <v>16</v>
      </c>
      <c r="L105" s="9">
        <v>0.0</v>
      </c>
      <c r="M105" s="22" t="str">
        <f t="shared" si="2"/>
        <v>OK</v>
      </c>
      <c r="N105" s="19">
        <f t="shared" si="3"/>
        <v>4.9</v>
      </c>
      <c r="R105" s="14"/>
      <c r="S105" s="8"/>
      <c r="U105" s="14"/>
      <c r="V105" s="9"/>
    </row>
    <row r="106">
      <c r="A106" s="20" t="s">
        <v>228</v>
      </c>
      <c r="B106" s="20" t="s">
        <v>229</v>
      </c>
      <c r="C106" s="21">
        <v>45209.0</v>
      </c>
      <c r="D106" s="21">
        <v>45221.0</v>
      </c>
      <c r="E106" s="9" t="s">
        <v>14</v>
      </c>
      <c r="F106" s="8">
        <v>3.4</v>
      </c>
      <c r="G106" s="8">
        <v>92.0</v>
      </c>
      <c r="H106" s="9">
        <v>1.0</v>
      </c>
      <c r="I106" s="8">
        <v>44.0</v>
      </c>
      <c r="J106" s="9" t="s">
        <v>19</v>
      </c>
      <c r="K106" s="9" t="s">
        <v>26</v>
      </c>
      <c r="L106" s="9">
        <v>0.0</v>
      </c>
      <c r="M106" s="22" t="str">
        <f t="shared" si="2"/>
        <v>OK</v>
      </c>
      <c r="N106" s="19">
        <f t="shared" si="3"/>
        <v>3.4</v>
      </c>
      <c r="R106" s="14"/>
      <c r="S106" s="8"/>
      <c r="U106" s="14"/>
      <c r="V106" s="9"/>
    </row>
    <row r="107">
      <c r="A107" s="20" t="s">
        <v>230</v>
      </c>
      <c r="B107" s="20" t="s">
        <v>231</v>
      </c>
      <c r="C107" s="21">
        <v>45203.0</v>
      </c>
      <c r="D107" s="21">
        <v>45215.0</v>
      </c>
      <c r="E107" s="9" t="s">
        <v>14</v>
      </c>
      <c r="F107" s="8">
        <v>0.4</v>
      </c>
      <c r="G107" s="8">
        <v>30.0</v>
      </c>
      <c r="H107" s="9">
        <v>0.0</v>
      </c>
      <c r="I107" s="8">
        <v>48.0</v>
      </c>
      <c r="J107" s="9" t="s">
        <v>15</v>
      </c>
      <c r="K107" s="9" t="s">
        <v>26</v>
      </c>
      <c r="L107" s="9">
        <v>0.0</v>
      </c>
      <c r="M107" s="22" t="str">
        <f t="shared" si="2"/>
        <v>OK</v>
      </c>
      <c r="N107" s="19">
        <f t="shared" si="3"/>
        <v>0.4</v>
      </c>
      <c r="R107" s="14"/>
      <c r="S107" s="8"/>
      <c r="U107" s="14"/>
      <c r="V107" s="9"/>
    </row>
    <row r="108">
      <c r="A108" s="20" t="s">
        <v>232</v>
      </c>
      <c r="B108" s="20" t="s">
        <v>233</v>
      </c>
      <c r="C108" s="21">
        <v>45033.0</v>
      </c>
      <c r="D108" s="21">
        <v>45045.0</v>
      </c>
      <c r="E108" s="9" t="s">
        <v>14</v>
      </c>
      <c r="F108" s="8">
        <v>3.0</v>
      </c>
      <c r="G108" s="8">
        <v>41.0</v>
      </c>
      <c r="H108" s="9">
        <v>1.0</v>
      </c>
      <c r="I108" s="8">
        <v>27.0</v>
      </c>
      <c r="J108" s="9" t="s">
        <v>19</v>
      </c>
      <c r="K108" s="9" t="s">
        <v>16</v>
      </c>
      <c r="L108" s="9">
        <v>0.0</v>
      </c>
      <c r="M108" s="22" t="str">
        <f t="shared" si="2"/>
        <v>OK</v>
      </c>
      <c r="N108" s="19">
        <f t="shared" si="3"/>
        <v>3</v>
      </c>
      <c r="R108" s="14"/>
      <c r="S108" s="8"/>
      <c r="U108" s="14"/>
      <c r="V108" s="9"/>
    </row>
    <row r="109">
      <c r="A109" s="20" t="s">
        <v>234</v>
      </c>
      <c r="B109" s="20" t="s">
        <v>235</v>
      </c>
      <c r="C109" s="21">
        <v>45249.0</v>
      </c>
      <c r="D109" s="21">
        <v>45261.0</v>
      </c>
      <c r="E109" s="9" t="s">
        <v>14</v>
      </c>
      <c r="F109" s="8">
        <v>1.0</v>
      </c>
      <c r="G109" s="8">
        <v>32.0</v>
      </c>
      <c r="H109" s="9">
        <v>1.0</v>
      </c>
      <c r="I109" s="8">
        <v>32.0</v>
      </c>
      <c r="J109" s="9" t="s">
        <v>35</v>
      </c>
      <c r="K109" s="9" t="s">
        <v>26</v>
      </c>
      <c r="L109" s="9">
        <v>0.0</v>
      </c>
      <c r="M109" s="22" t="str">
        <f t="shared" si="2"/>
        <v>OK</v>
      </c>
      <c r="N109" s="19">
        <f t="shared" si="3"/>
        <v>1</v>
      </c>
      <c r="R109" s="14"/>
      <c r="S109" s="8"/>
      <c r="U109" s="14"/>
      <c r="V109" s="9"/>
    </row>
    <row r="110">
      <c r="A110" s="20" t="s">
        <v>236</v>
      </c>
      <c r="B110" s="20" t="s">
        <v>237</v>
      </c>
      <c r="C110" s="21">
        <v>44979.0</v>
      </c>
      <c r="D110" s="21">
        <v>44991.0</v>
      </c>
      <c r="E110" s="9" t="s">
        <v>38</v>
      </c>
      <c r="F110" s="8">
        <v>0.2</v>
      </c>
      <c r="G110" s="8">
        <v>31.0</v>
      </c>
      <c r="H110" s="9">
        <v>0.0</v>
      </c>
      <c r="I110" s="8">
        <v>15.0</v>
      </c>
      <c r="J110" s="9" t="s">
        <v>23</v>
      </c>
      <c r="K110" s="9" t="s">
        <v>16</v>
      </c>
      <c r="L110" s="9">
        <v>1.0</v>
      </c>
      <c r="M110" s="22" t="str">
        <f t="shared" si="2"/>
        <v>OK</v>
      </c>
      <c r="N110" s="19">
        <f t="shared" si="3"/>
        <v>0.2</v>
      </c>
      <c r="R110" s="14"/>
      <c r="S110" s="8"/>
      <c r="U110" s="14"/>
      <c r="V110" s="9"/>
    </row>
    <row r="111">
      <c r="A111" s="20" t="s">
        <v>238</v>
      </c>
      <c r="B111" s="20" t="s">
        <v>239</v>
      </c>
      <c r="C111" s="21">
        <v>45222.0</v>
      </c>
      <c r="D111" s="21">
        <v>45234.0</v>
      </c>
      <c r="E111" s="9" t="s">
        <v>29</v>
      </c>
      <c r="F111" s="8">
        <v>0.1</v>
      </c>
      <c r="G111" s="8">
        <v>14.0</v>
      </c>
      <c r="H111" s="9">
        <v>1.0</v>
      </c>
      <c r="I111" s="8">
        <v>12.0</v>
      </c>
      <c r="J111" s="9" t="s">
        <v>32</v>
      </c>
      <c r="K111" s="9" t="s">
        <v>26</v>
      </c>
      <c r="L111" s="9">
        <v>0.0</v>
      </c>
      <c r="M111" s="22" t="str">
        <f t="shared" si="2"/>
        <v>OK</v>
      </c>
      <c r="N111" s="19">
        <f t="shared" si="3"/>
        <v>0.1</v>
      </c>
      <c r="R111" s="14"/>
      <c r="S111" s="8"/>
      <c r="U111" s="14"/>
      <c r="V111" s="9"/>
    </row>
    <row r="112">
      <c r="A112" s="20" t="s">
        <v>240</v>
      </c>
      <c r="B112" s="20" t="s">
        <v>241</v>
      </c>
      <c r="C112" s="21">
        <v>45266.0</v>
      </c>
      <c r="D112" s="21">
        <v>45278.0</v>
      </c>
      <c r="E112" s="9" t="s">
        <v>29</v>
      </c>
      <c r="F112" s="8">
        <v>3.1</v>
      </c>
      <c r="G112" s="8">
        <v>36.0</v>
      </c>
      <c r="H112" s="9">
        <v>0.0</v>
      </c>
      <c r="I112" s="8">
        <v>24.0</v>
      </c>
      <c r="J112" s="9" t="s">
        <v>19</v>
      </c>
      <c r="K112" s="9" t="s">
        <v>26</v>
      </c>
      <c r="L112" s="9">
        <v>1.0</v>
      </c>
      <c r="M112" s="22" t="str">
        <f t="shared" si="2"/>
        <v>OK</v>
      </c>
      <c r="N112" s="19">
        <f t="shared" si="3"/>
        <v>3.1</v>
      </c>
      <c r="R112" s="14"/>
      <c r="S112" s="8"/>
      <c r="U112" s="14"/>
      <c r="V112" s="9"/>
    </row>
    <row r="113">
      <c r="A113" s="20" t="s">
        <v>242</v>
      </c>
      <c r="B113" s="20" t="s">
        <v>243</v>
      </c>
      <c r="C113" s="21">
        <v>45062.0</v>
      </c>
      <c r="D113" s="21">
        <v>45074.0</v>
      </c>
      <c r="E113" s="9" t="s">
        <v>29</v>
      </c>
      <c r="F113" s="8">
        <v>0.0</v>
      </c>
      <c r="G113" s="8">
        <v>66.0</v>
      </c>
      <c r="H113" s="9">
        <v>1.0</v>
      </c>
      <c r="I113" s="8">
        <v>17.0</v>
      </c>
      <c r="J113" s="9" t="s">
        <v>32</v>
      </c>
      <c r="K113" s="9" t="s">
        <v>16</v>
      </c>
      <c r="L113" s="9">
        <v>1.0</v>
      </c>
      <c r="M113" s="22" t="str">
        <f t="shared" si="2"/>
        <v>OK</v>
      </c>
      <c r="N113" s="19">
        <f t="shared" si="3"/>
        <v>0</v>
      </c>
      <c r="R113" s="14"/>
      <c r="S113" s="8"/>
      <c r="U113" s="14"/>
      <c r="V113" s="9"/>
    </row>
    <row r="114">
      <c r="A114" s="20" t="s">
        <v>244</v>
      </c>
      <c r="B114" s="20" t="s">
        <v>245</v>
      </c>
      <c r="C114" s="21">
        <v>44958.0</v>
      </c>
      <c r="D114" s="21">
        <v>44970.0</v>
      </c>
      <c r="E114" s="9" t="s">
        <v>14</v>
      </c>
      <c r="F114" s="8">
        <v>3.9</v>
      </c>
      <c r="G114" s="8">
        <v>39.0</v>
      </c>
      <c r="H114" s="9">
        <v>0.0</v>
      </c>
      <c r="I114" s="8">
        <v>21.0</v>
      </c>
      <c r="J114" s="9" t="s">
        <v>19</v>
      </c>
      <c r="K114" s="9" t="s">
        <v>47</v>
      </c>
      <c r="L114" s="9">
        <v>1.0</v>
      </c>
      <c r="M114" s="22" t="str">
        <f t="shared" si="2"/>
        <v>OK</v>
      </c>
      <c r="N114" s="19">
        <f t="shared" si="3"/>
        <v>3.9</v>
      </c>
      <c r="R114" s="14"/>
      <c r="S114" s="8"/>
      <c r="U114" s="14"/>
      <c r="V114" s="9"/>
    </row>
    <row r="115">
      <c r="A115" s="20" t="s">
        <v>246</v>
      </c>
      <c r="B115" s="20" t="s">
        <v>247</v>
      </c>
      <c r="C115" s="21">
        <v>45023.0</v>
      </c>
      <c r="D115" s="21">
        <v>45035.0</v>
      </c>
      <c r="E115" s="9" t="s">
        <v>29</v>
      </c>
      <c r="F115" s="8">
        <v>4.8</v>
      </c>
      <c r="G115" s="8">
        <v>12.0</v>
      </c>
      <c r="H115" s="9">
        <v>1.0</v>
      </c>
      <c r="I115" s="8">
        <v>26.0</v>
      </c>
      <c r="J115" s="9" t="s">
        <v>32</v>
      </c>
      <c r="K115" s="9" t="s">
        <v>26</v>
      </c>
      <c r="L115" s="9">
        <v>0.0</v>
      </c>
      <c r="M115" s="22" t="str">
        <f t="shared" si="2"/>
        <v>OK</v>
      </c>
      <c r="N115" s="19">
        <f t="shared" si="3"/>
        <v>4.8</v>
      </c>
      <c r="R115" s="14"/>
      <c r="S115" s="8"/>
      <c r="U115" s="14"/>
      <c r="V115" s="9"/>
    </row>
    <row r="116">
      <c r="A116" s="20" t="s">
        <v>248</v>
      </c>
      <c r="B116" s="20" t="s">
        <v>249</v>
      </c>
      <c r="C116" s="21">
        <v>45123.0</v>
      </c>
      <c r="D116" s="21">
        <v>45135.0</v>
      </c>
      <c r="E116" s="9" t="s">
        <v>14</v>
      </c>
      <c r="F116" s="8">
        <v>4.5</v>
      </c>
      <c r="G116" s="8">
        <v>9.0</v>
      </c>
      <c r="H116" s="9">
        <v>0.0</v>
      </c>
      <c r="I116" s="8">
        <v>53.0</v>
      </c>
      <c r="J116" s="9" t="s">
        <v>35</v>
      </c>
      <c r="K116" s="9" t="s">
        <v>47</v>
      </c>
      <c r="L116" s="9">
        <v>0.0</v>
      </c>
      <c r="M116" s="22" t="str">
        <f t="shared" si="2"/>
        <v>OK</v>
      </c>
      <c r="N116" s="19">
        <f t="shared" si="3"/>
        <v>4.5</v>
      </c>
      <c r="R116" s="14"/>
      <c r="S116" s="8"/>
      <c r="U116" s="14"/>
      <c r="V116" s="9"/>
    </row>
    <row r="117">
      <c r="A117" s="20" t="s">
        <v>250</v>
      </c>
      <c r="B117" s="20" t="s">
        <v>251</v>
      </c>
      <c r="C117" s="21">
        <v>45082.0</v>
      </c>
      <c r="D117" s="21">
        <v>45094.0</v>
      </c>
      <c r="E117" s="9" t="s">
        <v>38</v>
      </c>
      <c r="F117" s="8">
        <v>2.0</v>
      </c>
      <c r="G117" s="8">
        <v>94.0</v>
      </c>
      <c r="H117" s="9">
        <v>1.0</v>
      </c>
      <c r="I117" s="8">
        <v>47.0</v>
      </c>
      <c r="J117" s="9" t="s">
        <v>15</v>
      </c>
      <c r="K117" s="9" t="s">
        <v>16</v>
      </c>
      <c r="L117" s="9">
        <v>1.0</v>
      </c>
      <c r="M117" s="22" t="str">
        <f t="shared" si="2"/>
        <v>OK</v>
      </c>
      <c r="N117" s="19">
        <f t="shared" si="3"/>
        <v>2</v>
      </c>
      <c r="R117" s="14"/>
      <c r="S117" s="8"/>
      <c r="U117" s="14"/>
      <c r="V117" s="9"/>
    </row>
    <row r="118">
      <c r="A118" s="20" t="s">
        <v>252</v>
      </c>
      <c r="B118" s="20" t="s">
        <v>253</v>
      </c>
      <c r="C118" s="21">
        <v>45079.0</v>
      </c>
      <c r="D118" s="21">
        <v>45091.0</v>
      </c>
      <c r="E118" s="9" t="s">
        <v>22</v>
      </c>
      <c r="F118" s="8">
        <v>3.3</v>
      </c>
      <c r="G118" s="8">
        <v>42.0</v>
      </c>
      <c r="H118" s="9">
        <v>0.0</v>
      </c>
      <c r="I118" s="8">
        <v>14.0</v>
      </c>
      <c r="J118" s="9" t="s">
        <v>35</v>
      </c>
      <c r="K118" s="9" t="s">
        <v>26</v>
      </c>
      <c r="L118" s="9">
        <v>0.0</v>
      </c>
      <c r="M118" s="22" t="str">
        <f t="shared" si="2"/>
        <v>OK</v>
      </c>
      <c r="N118" s="19">
        <f t="shared" si="3"/>
        <v>3.3</v>
      </c>
      <c r="R118" s="14"/>
      <c r="S118" s="8"/>
      <c r="U118" s="14"/>
      <c r="V118" s="9"/>
    </row>
    <row r="119">
      <c r="A119" s="20" t="s">
        <v>254</v>
      </c>
      <c r="B119" s="20" t="s">
        <v>255</v>
      </c>
      <c r="C119" s="21">
        <v>45238.0</v>
      </c>
      <c r="D119" s="21">
        <v>45250.0</v>
      </c>
      <c r="E119" s="9" t="s">
        <v>14</v>
      </c>
      <c r="F119" s="8">
        <v>4.9</v>
      </c>
      <c r="G119" s="8">
        <v>61.0</v>
      </c>
      <c r="H119" s="9">
        <v>1.0</v>
      </c>
      <c r="I119" s="8">
        <v>28.0</v>
      </c>
      <c r="J119" s="9" t="s">
        <v>35</v>
      </c>
      <c r="K119" s="9" t="s">
        <v>26</v>
      </c>
      <c r="L119" s="9">
        <v>1.0</v>
      </c>
      <c r="M119" s="22" t="str">
        <f t="shared" si="2"/>
        <v>OK</v>
      </c>
      <c r="N119" s="19">
        <f t="shared" si="3"/>
        <v>4.9</v>
      </c>
      <c r="R119" s="14"/>
      <c r="S119" s="8"/>
      <c r="U119" s="14"/>
      <c r="V119" s="9"/>
    </row>
    <row r="120">
      <c r="A120" s="20" t="s">
        <v>256</v>
      </c>
      <c r="B120" s="20" t="s">
        <v>257</v>
      </c>
      <c r="C120" s="21">
        <v>45063.0</v>
      </c>
      <c r="D120" s="21">
        <v>45075.0</v>
      </c>
      <c r="E120" s="9" t="s">
        <v>29</v>
      </c>
      <c r="F120" s="8">
        <v>2.4</v>
      </c>
      <c r="G120" s="8">
        <v>46.0</v>
      </c>
      <c r="H120" s="9">
        <v>0.0</v>
      </c>
      <c r="I120" s="8">
        <v>35.0</v>
      </c>
      <c r="J120" s="9" t="s">
        <v>32</v>
      </c>
      <c r="K120" s="9" t="s">
        <v>26</v>
      </c>
      <c r="L120" s="9">
        <v>1.0</v>
      </c>
      <c r="M120" s="22" t="str">
        <f t="shared" si="2"/>
        <v>OK</v>
      </c>
      <c r="N120" s="19">
        <f t="shared" si="3"/>
        <v>2.4</v>
      </c>
      <c r="R120" s="14"/>
      <c r="S120" s="8"/>
      <c r="U120" s="14"/>
      <c r="V120" s="9"/>
    </row>
    <row r="121">
      <c r="A121" s="20" t="s">
        <v>258</v>
      </c>
      <c r="B121" s="20" t="s">
        <v>259</v>
      </c>
      <c r="C121" s="21">
        <v>44971.0</v>
      </c>
      <c r="D121" s="21">
        <v>44983.0</v>
      </c>
      <c r="E121" s="9" t="s">
        <v>38</v>
      </c>
      <c r="F121" s="8">
        <v>2.6</v>
      </c>
      <c r="G121" s="8">
        <v>82.0</v>
      </c>
      <c r="H121" s="9">
        <v>0.0</v>
      </c>
      <c r="I121" s="8">
        <v>25.0</v>
      </c>
      <c r="J121" s="9" t="s">
        <v>35</v>
      </c>
      <c r="K121" s="9" t="s">
        <v>16</v>
      </c>
      <c r="L121" s="9">
        <v>1.0</v>
      </c>
      <c r="M121" s="22" t="str">
        <f t="shared" si="2"/>
        <v>OK</v>
      </c>
      <c r="N121" s="19">
        <f t="shared" si="3"/>
        <v>2.6</v>
      </c>
      <c r="R121" s="14"/>
      <c r="S121" s="8"/>
      <c r="U121" s="14"/>
      <c r="V121" s="9"/>
    </row>
    <row r="122">
      <c r="A122" s="20" t="s">
        <v>260</v>
      </c>
      <c r="B122" s="20" t="s">
        <v>261</v>
      </c>
      <c r="C122" s="21">
        <v>45236.0</v>
      </c>
      <c r="D122" s="21">
        <v>45248.0</v>
      </c>
      <c r="E122" s="9" t="s">
        <v>38</v>
      </c>
      <c r="F122" s="8">
        <v>0.7</v>
      </c>
      <c r="G122" s="8">
        <v>69.0</v>
      </c>
      <c r="H122" s="9">
        <v>1.0</v>
      </c>
      <c r="I122" s="8">
        <v>19.0</v>
      </c>
      <c r="J122" s="9" t="s">
        <v>32</v>
      </c>
      <c r="K122" s="9" t="s">
        <v>16</v>
      </c>
      <c r="L122" s="9">
        <v>0.0</v>
      </c>
      <c r="M122" s="22" t="str">
        <f t="shared" si="2"/>
        <v>OK</v>
      </c>
      <c r="N122" s="19">
        <f t="shared" si="3"/>
        <v>0.7</v>
      </c>
      <c r="R122" s="14"/>
      <c r="S122" s="8"/>
      <c r="U122" s="14"/>
      <c r="V122" s="9"/>
    </row>
    <row r="123">
      <c r="A123" s="20" t="s">
        <v>262</v>
      </c>
      <c r="B123" s="20" t="s">
        <v>263</v>
      </c>
      <c r="C123" s="21">
        <v>45145.0</v>
      </c>
      <c r="D123" s="21">
        <v>45157.0</v>
      </c>
      <c r="E123" s="9" t="s">
        <v>29</v>
      </c>
      <c r="F123" s="8">
        <v>1.2</v>
      </c>
      <c r="G123" s="8">
        <v>49.0</v>
      </c>
      <c r="H123" s="9">
        <v>0.0</v>
      </c>
      <c r="I123" s="8">
        <v>37.0</v>
      </c>
      <c r="J123" s="9" t="s">
        <v>35</v>
      </c>
      <c r="K123" s="9" t="s">
        <v>47</v>
      </c>
      <c r="L123" s="9">
        <v>0.0</v>
      </c>
      <c r="M123" s="22" t="str">
        <f t="shared" si="2"/>
        <v>OK</v>
      </c>
      <c r="N123" s="19">
        <f t="shared" si="3"/>
        <v>1.2</v>
      </c>
      <c r="R123" s="14"/>
      <c r="S123" s="8"/>
      <c r="U123" s="14"/>
      <c r="V123" s="9"/>
    </row>
    <row r="124">
      <c r="A124" s="20" t="s">
        <v>264</v>
      </c>
      <c r="B124" s="20" t="s">
        <v>265</v>
      </c>
      <c r="C124" s="21">
        <v>44965.0</v>
      </c>
      <c r="D124" s="21">
        <v>44977.0</v>
      </c>
      <c r="E124" s="9" t="s">
        <v>22</v>
      </c>
      <c r="F124" s="8">
        <v>1.9</v>
      </c>
      <c r="G124" s="8">
        <v>5.0</v>
      </c>
      <c r="H124" s="9">
        <v>0.0</v>
      </c>
      <c r="I124" s="8">
        <v>56.0</v>
      </c>
      <c r="J124" s="9" t="s">
        <v>23</v>
      </c>
      <c r="K124" s="9" t="s">
        <v>47</v>
      </c>
      <c r="L124" s="9">
        <v>1.0</v>
      </c>
      <c r="M124" s="22" t="str">
        <f t="shared" si="2"/>
        <v>OK</v>
      </c>
      <c r="N124" s="19">
        <f t="shared" si="3"/>
        <v>1.9</v>
      </c>
      <c r="R124" s="14"/>
      <c r="S124" s="8"/>
      <c r="U124" s="14"/>
      <c r="V124" s="9"/>
    </row>
    <row r="125">
      <c r="A125" s="20" t="s">
        <v>266</v>
      </c>
      <c r="B125" s="20" t="s">
        <v>267</v>
      </c>
      <c r="C125" s="21">
        <v>45082.0</v>
      </c>
      <c r="D125" s="21">
        <v>45094.0</v>
      </c>
      <c r="E125" s="9" t="s">
        <v>14</v>
      </c>
      <c r="F125" s="8">
        <v>0.3</v>
      </c>
      <c r="G125" s="8">
        <v>68.0</v>
      </c>
      <c r="H125" s="9">
        <v>1.0</v>
      </c>
      <c r="I125" s="8">
        <v>16.0</v>
      </c>
      <c r="J125" s="9" t="s">
        <v>35</v>
      </c>
      <c r="K125" s="9" t="s">
        <v>47</v>
      </c>
      <c r="L125" s="9">
        <v>0.0</v>
      </c>
      <c r="M125" s="22" t="str">
        <f t="shared" si="2"/>
        <v>OK</v>
      </c>
      <c r="N125" s="19">
        <f t="shared" si="3"/>
        <v>0.3</v>
      </c>
      <c r="R125" s="14"/>
      <c r="S125" s="8"/>
      <c r="U125" s="14"/>
      <c r="V125" s="9"/>
    </row>
    <row r="126">
      <c r="A126" s="20" t="s">
        <v>268</v>
      </c>
      <c r="B126" s="20" t="s">
        <v>269</v>
      </c>
      <c r="C126" s="21">
        <v>45153.0</v>
      </c>
      <c r="D126" s="21">
        <v>45165.0</v>
      </c>
      <c r="E126" s="9" t="s">
        <v>22</v>
      </c>
      <c r="F126" s="8">
        <v>1.5</v>
      </c>
      <c r="G126" s="8">
        <v>44.0</v>
      </c>
      <c r="H126" s="9">
        <v>1.0</v>
      </c>
      <c r="I126" s="8">
        <v>20.0</v>
      </c>
      <c r="J126" s="9" t="s">
        <v>23</v>
      </c>
      <c r="K126" s="9" t="s">
        <v>26</v>
      </c>
      <c r="L126" s="9">
        <v>1.0</v>
      </c>
      <c r="M126" s="22" t="str">
        <f t="shared" si="2"/>
        <v>OK</v>
      </c>
      <c r="N126" s="19">
        <f t="shared" si="3"/>
        <v>1.5</v>
      </c>
      <c r="R126" s="14"/>
      <c r="S126" s="8"/>
      <c r="U126" s="14"/>
      <c r="V126" s="9"/>
    </row>
    <row r="127">
      <c r="A127" s="20" t="s">
        <v>270</v>
      </c>
      <c r="B127" s="20" t="s">
        <v>271</v>
      </c>
      <c r="C127" s="21">
        <v>44970.0</v>
      </c>
      <c r="D127" s="21">
        <v>44982.0</v>
      </c>
      <c r="E127" s="9" t="s">
        <v>29</v>
      </c>
      <c r="F127" s="8">
        <v>4.6</v>
      </c>
      <c r="G127" s="8">
        <v>33.0</v>
      </c>
      <c r="H127" s="9">
        <v>0.0</v>
      </c>
      <c r="I127" s="8">
        <v>55.0</v>
      </c>
      <c r="J127" s="9" t="s">
        <v>19</v>
      </c>
      <c r="K127" s="9" t="s">
        <v>47</v>
      </c>
      <c r="L127" s="9">
        <v>1.0</v>
      </c>
      <c r="M127" s="22" t="str">
        <f t="shared" si="2"/>
        <v>OK</v>
      </c>
      <c r="N127" s="19">
        <f t="shared" si="3"/>
        <v>4.6</v>
      </c>
      <c r="R127" s="14"/>
      <c r="S127" s="8"/>
      <c r="U127" s="14"/>
      <c r="V127" s="9"/>
    </row>
    <row r="128">
      <c r="A128" s="20" t="s">
        <v>272</v>
      </c>
      <c r="B128" s="20" t="s">
        <v>273</v>
      </c>
      <c r="C128" s="21">
        <v>45166.0</v>
      </c>
      <c r="D128" s="21">
        <v>45178.0</v>
      </c>
      <c r="E128" s="9" t="s">
        <v>14</v>
      </c>
      <c r="F128" s="8">
        <v>2.3</v>
      </c>
      <c r="G128" s="8">
        <v>50.0</v>
      </c>
      <c r="H128" s="9">
        <v>0.0</v>
      </c>
      <c r="I128" s="8">
        <v>41.0</v>
      </c>
      <c r="J128" s="9" t="s">
        <v>32</v>
      </c>
      <c r="K128" s="9" t="s">
        <v>47</v>
      </c>
      <c r="L128" s="9">
        <v>1.0</v>
      </c>
      <c r="M128" s="22" t="str">
        <f t="shared" si="2"/>
        <v>OK</v>
      </c>
      <c r="N128" s="19">
        <f t="shared" si="3"/>
        <v>2.3</v>
      </c>
      <c r="R128" s="14"/>
      <c r="S128" s="8"/>
      <c r="U128" s="14"/>
      <c r="V128" s="9"/>
    </row>
    <row r="129">
      <c r="A129" s="20" t="s">
        <v>274</v>
      </c>
      <c r="B129" s="20" t="s">
        <v>275</v>
      </c>
      <c r="C129" s="21">
        <v>44935.0</v>
      </c>
      <c r="D129" s="21">
        <v>44947.0</v>
      </c>
      <c r="E129" s="9" t="s">
        <v>14</v>
      </c>
      <c r="F129" s="8">
        <v>3.5</v>
      </c>
      <c r="G129" s="8">
        <v>10.0</v>
      </c>
      <c r="H129" s="9">
        <v>1.0</v>
      </c>
      <c r="I129" s="8">
        <v>42.0</v>
      </c>
      <c r="J129" s="9" t="s">
        <v>23</v>
      </c>
      <c r="K129" s="9" t="s">
        <v>47</v>
      </c>
      <c r="L129" s="9">
        <v>1.0</v>
      </c>
      <c r="M129" s="22" t="str">
        <f t="shared" si="2"/>
        <v>OK</v>
      </c>
      <c r="N129" s="19">
        <f t="shared" si="3"/>
        <v>3.5</v>
      </c>
      <c r="R129" s="14"/>
      <c r="S129" s="8"/>
      <c r="U129" s="14"/>
      <c r="V129" s="9"/>
    </row>
    <row r="130">
      <c r="A130" s="20" t="s">
        <v>276</v>
      </c>
      <c r="B130" s="20" t="s">
        <v>277</v>
      </c>
      <c r="C130" s="21">
        <v>45095.0</v>
      </c>
      <c r="D130" s="21">
        <v>45107.0</v>
      </c>
      <c r="E130" s="9" t="s">
        <v>38</v>
      </c>
      <c r="F130" s="8">
        <v>0.6</v>
      </c>
      <c r="G130" s="8">
        <v>19.0</v>
      </c>
      <c r="H130" s="9">
        <v>0.0</v>
      </c>
      <c r="I130" s="8">
        <v>54.0</v>
      </c>
      <c r="J130" s="9" t="s">
        <v>23</v>
      </c>
      <c r="K130" s="9" t="s">
        <v>26</v>
      </c>
      <c r="L130" s="9">
        <v>1.0</v>
      </c>
      <c r="M130" s="22" t="str">
        <f t="shared" si="2"/>
        <v>OK</v>
      </c>
      <c r="N130" s="19">
        <f t="shared" si="3"/>
        <v>0.6</v>
      </c>
      <c r="R130" s="14"/>
      <c r="S130" s="8"/>
      <c r="U130" s="14"/>
      <c r="V130" s="9"/>
    </row>
    <row r="131">
      <c r="A131" s="20" t="s">
        <v>278</v>
      </c>
      <c r="B131" s="20" t="s">
        <v>279</v>
      </c>
      <c r="C131" s="21">
        <v>45047.0</v>
      </c>
      <c r="D131" s="21">
        <v>45059.0</v>
      </c>
      <c r="E131" s="9" t="s">
        <v>29</v>
      </c>
      <c r="F131" s="8">
        <v>2.1</v>
      </c>
      <c r="G131" s="8">
        <v>47.0</v>
      </c>
      <c r="H131" s="9">
        <v>0.0</v>
      </c>
      <c r="I131" s="8">
        <v>38.0</v>
      </c>
      <c r="J131" s="9" t="s">
        <v>15</v>
      </c>
      <c r="K131" s="9" t="s">
        <v>47</v>
      </c>
      <c r="L131" s="9">
        <v>0.0</v>
      </c>
      <c r="M131" s="22" t="str">
        <f t="shared" si="2"/>
        <v>OK</v>
      </c>
      <c r="N131" s="19">
        <f t="shared" si="3"/>
        <v>2.1</v>
      </c>
      <c r="R131" s="14"/>
      <c r="S131" s="8"/>
      <c r="U131" s="14"/>
      <c r="V131" s="9"/>
    </row>
    <row r="132">
      <c r="A132" s="20" t="s">
        <v>280</v>
      </c>
      <c r="B132" s="20" t="s">
        <v>281</v>
      </c>
      <c r="C132" s="21">
        <v>45215.0</v>
      </c>
      <c r="D132" s="21">
        <v>45227.0</v>
      </c>
      <c r="E132" s="9" t="s">
        <v>38</v>
      </c>
      <c r="F132" s="8">
        <v>3.2</v>
      </c>
      <c r="G132" s="8">
        <v>88.0</v>
      </c>
      <c r="H132" s="9">
        <v>1.0</v>
      </c>
      <c r="I132" s="8">
        <v>46.0</v>
      </c>
      <c r="J132" s="9" t="s">
        <v>32</v>
      </c>
      <c r="K132" s="9" t="s">
        <v>47</v>
      </c>
      <c r="L132" s="9">
        <v>1.0</v>
      </c>
      <c r="M132" s="22" t="str">
        <f t="shared" si="2"/>
        <v>OK</v>
      </c>
      <c r="N132" s="19">
        <f t="shared" si="3"/>
        <v>3.2</v>
      </c>
      <c r="R132" s="14"/>
      <c r="S132" s="8"/>
      <c r="U132" s="14"/>
      <c r="V132" s="9"/>
    </row>
    <row r="133">
      <c r="A133" s="20" t="s">
        <v>282</v>
      </c>
      <c r="B133" s="20" t="s">
        <v>283</v>
      </c>
      <c r="C133" s="21">
        <v>45136.0</v>
      </c>
      <c r="D133" s="21">
        <v>45148.0</v>
      </c>
      <c r="E133" s="9" t="s">
        <v>38</v>
      </c>
      <c r="F133" s="8">
        <v>2.9</v>
      </c>
      <c r="G133" s="8">
        <v>74.0</v>
      </c>
      <c r="H133" s="9">
        <v>1.0</v>
      </c>
      <c r="I133" s="8">
        <v>30.0</v>
      </c>
      <c r="J133" s="9" t="s">
        <v>19</v>
      </c>
      <c r="K133" s="9" t="s">
        <v>47</v>
      </c>
      <c r="L133" s="9">
        <v>1.0</v>
      </c>
      <c r="M133" s="22" t="str">
        <f t="shared" si="2"/>
        <v>OK</v>
      </c>
      <c r="N133" s="19">
        <f t="shared" si="3"/>
        <v>2.9</v>
      </c>
      <c r="R133" s="14"/>
      <c r="S133" s="8"/>
      <c r="U133" s="14"/>
      <c r="V133" s="9"/>
    </row>
    <row r="134">
      <c r="A134" s="20" t="s">
        <v>284</v>
      </c>
      <c r="B134" s="20" t="s">
        <v>285</v>
      </c>
      <c r="C134" s="21">
        <v>45131.0</v>
      </c>
      <c r="D134" s="21">
        <v>45143.0</v>
      </c>
      <c r="E134" s="9" t="s">
        <v>29</v>
      </c>
      <c r="F134" s="8">
        <v>4.2</v>
      </c>
      <c r="G134" s="8">
        <v>45.0</v>
      </c>
      <c r="H134" s="9">
        <v>1.0</v>
      </c>
      <c r="I134" s="8">
        <v>33.0</v>
      </c>
      <c r="J134" s="9" t="s">
        <v>15</v>
      </c>
      <c r="K134" s="9" t="s">
        <v>26</v>
      </c>
      <c r="L134" s="9">
        <v>1.0</v>
      </c>
      <c r="M134" s="22" t="str">
        <f t="shared" si="2"/>
        <v>OK</v>
      </c>
      <c r="N134" s="19">
        <f t="shared" si="3"/>
        <v>4.2</v>
      </c>
      <c r="R134" s="14"/>
      <c r="S134" s="8"/>
      <c r="U134" s="14"/>
      <c r="V134" s="9"/>
    </row>
    <row r="135">
      <c r="A135" s="20" t="s">
        <v>286</v>
      </c>
      <c r="B135" s="20" t="s">
        <v>287</v>
      </c>
      <c r="C135" s="21">
        <v>44943.0</v>
      </c>
      <c r="D135" s="21">
        <v>44955.0</v>
      </c>
      <c r="E135" s="9" t="s">
        <v>14</v>
      </c>
      <c r="F135" s="8">
        <v>2.5</v>
      </c>
      <c r="G135" s="8">
        <v>87.0</v>
      </c>
      <c r="H135" s="9">
        <v>0.0</v>
      </c>
      <c r="I135" s="8">
        <v>29.0</v>
      </c>
      <c r="J135" s="9" t="s">
        <v>19</v>
      </c>
      <c r="K135" s="9" t="s">
        <v>16</v>
      </c>
      <c r="L135" s="9">
        <v>1.0</v>
      </c>
      <c r="M135" s="22" t="str">
        <f t="shared" si="2"/>
        <v>OK</v>
      </c>
      <c r="N135" s="19">
        <f t="shared" si="3"/>
        <v>2.5</v>
      </c>
      <c r="R135" s="14"/>
      <c r="S135" s="8"/>
      <c r="U135" s="14"/>
      <c r="V135" s="9"/>
    </row>
    <row r="136">
      <c r="A136" s="20" t="s">
        <v>288</v>
      </c>
      <c r="B136" s="20" t="s">
        <v>289</v>
      </c>
      <c r="C136" s="21">
        <v>45044.0</v>
      </c>
      <c r="D136" s="21">
        <v>45056.0</v>
      </c>
      <c r="E136" s="9" t="s">
        <v>38</v>
      </c>
      <c r="F136" s="8">
        <v>0.9</v>
      </c>
      <c r="G136" s="8">
        <v>70.0</v>
      </c>
      <c r="H136" s="9">
        <v>1.0</v>
      </c>
      <c r="I136" s="8">
        <v>36.0</v>
      </c>
      <c r="J136" s="9" t="s">
        <v>35</v>
      </c>
      <c r="K136" s="9" t="s">
        <v>47</v>
      </c>
      <c r="L136" s="9">
        <v>1.0</v>
      </c>
      <c r="M136" s="22" t="str">
        <f t="shared" si="2"/>
        <v>OK</v>
      </c>
      <c r="N136" s="19">
        <f t="shared" si="3"/>
        <v>0.9</v>
      </c>
      <c r="R136" s="14"/>
      <c r="S136" s="8"/>
      <c r="U136" s="14"/>
      <c r="V136" s="9"/>
    </row>
    <row r="137">
      <c r="A137" s="20" t="s">
        <v>290</v>
      </c>
      <c r="B137" s="20" t="s">
        <v>291</v>
      </c>
      <c r="C137" s="21">
        <v>45175.0</v>
      </c>
      <c r="D137" s="21">
        <v>45187.0</v>
      </c>
      <c r="E137" s="9" t="s">
        <v>14</v>
      </c>
      <c r="F137" s="8">
        <v>1.7</v>
      </c>
      <c r="G137" s="8">
        <v>8.0</v>
      </c>
      <c r="H137" s="9">
        <v>1.0</v>
      </c>
      <c r="I137" s="8">
        <v>40.0</v>
      </c>
      <c r="J137" s="9" t="s">
        <v>35</v>
      </c>
      <c r="K137" s="9" t="s">
        <v>26</v>
      </c>
      <c r="L137" s="9">
        <v>1.0</v>
      </c>
      <c r="M137" s="22" t="str">
        <f t="shared" si="2"/>
        <v>OK</v>
      </c>
      <c r="N137" s="19">
        <f t="shared" si="3"/>
        <v>1.7</v>
      </c>
      <c r="R137" s="14"/>
      <c r="S137" s="8"/>
      <c r="U137" s="14"/>
      <c r="V137" s="9"/>
    </row>
    <row r="138">
      <c r="A138" s="20" t="s">
        <v>292</v>
      </c>
      <c r="B138" s="20" t="s">
        <v>293</v>
      </c>
      <c r="C138" s="21">
        <v>45258.0</v>
      </c>
      <c r="D138" s="21">
        <v>45270.0</v>
      </c>
      <c r="E138" s="9" t="s">
        <v>29</v>
      </c>
      <c r="F138" s="8">
        <v>4.4</v>
      </c>
      <c r="G138" s="8">
        <v>99.0</v>
      </c>
      <c r="H138" s="9">
        <v>0.0</v>
      </c>
      <c r="I138" s="8">
        <v>23.0</v>
      </c>
      <c r="J138" s="9" t="s">
        <v>19</v>
      </c>
      <c r="K138" s="9" t="s">
        <v>47</v>
      </c>
      <c r="L138" s="9">
        <v>0.0</v>
      </c>
      <c r="M138" s="22" t="str">
        <f t="shared" si="2"/>
        <v>OK</v>
      </c>
      <c r="N138" s="19">
        <f t="shared" si="3"/>
        <v>4.4</v>
      </c>
      <c r="R138" s="14"/>
      <c r="S138" s="8"/>
      <c r="U138" s="14"/>
      <c r="V138" s="9"/>
    </row>
    <row r="139">
      <c r="A139" s="20" t="s">
        <v>294</v>
      </c>
      <c r="B139" s="20" t="s">
        <v>295</v>
      </c>
      <c r="C139" s="21">
        <v>45006.0</v>
      </c>
      <c r="D139" s="21">
        <v>45018.0</v>
      </c>
      <c r="E139" s="9" t="s">
        <v>38</v>
      </c>
      <c r="F139" s="8">
        <v>1.3</v>
      </c>
      <c r="G139" s="8">
        <v>56.0</v>
      </c>
      <c r="H139" s="9">
        <v>0.0</v>
      </c>
      <c r="I139" s="8">
        <v>50.0</v>
      </c>
      <c r="J139" s="9" t="s">
        <v>23</v>
      </c>
      <c r="K139" s="9" t="s">
        <v>16</v>
      </c>
      <c r="L139" s="9">
        <v>1.0</v>
      </c>
      <c r="M139" s="22" t="str">
        <f t="shared" si="2"/>
        <v>OK</v>
      </c>
      <c r="N139" s="19">
        <f t="shared" si="3"/>
        <v>1.3</v>
      </c>
      <c r="R139" s="14"/>
      <c r="S139" s="8"/>
      <c r="U139" s="14"/>
      <c r="V139" s="9"/>
    </row>
    <row r="140">
      <c r="A140" s="20" t="s">
        <v>296</v>
      </c>
      <c r="B140" s="20" t="s">
        <v>297</v>
      </c>
      <c r="C140" s="21">
        <v>45147.0</v>
      </c>
      <c r="D140" s="21">
        <v>45159.0</v>
      </c>
      <c r="E140" s="9" t="s">
        <v>29</v>
      </c>
      <c r="F140" s="8">
        <v>3.7</v>
      </c>
      <c r="G140" s="8">
        <v>58.0</v>
      </c>
      <c r="H140" s="9">
        <v>0.0</v>
      </c>
      <c r="I140" s="8">
        <v>55.0</v>
      </c>
      <c r="J140" s="9" t="s">
        <v>19</v>
      </c>
      <c r="K140" s="9" t="s">
        <v>26</v>
      </c>
      <c r="L140" s="9">
        <v>1.0</v>
      </c>
      <c r="M140" s="22" t="str">
        <f t="shared" si="2"/>
        <v>OK</v>
      </c>
      <c r="N140" s="19">
        <f t="shared" si="3"/>
        <v>3.7</v>
      </c>
      <c r="R140" s="14"/>
      <c r="S140" s="8"/>
      <c r="U140" s="14"/>
      <c r="V140" s="9"/>
    </row>
    <row r="141">
      <c r="A141" s="20" t="s">
        <v>298</v>
      </c>
      <c r="B141" s="20" t="s">
        <v>299</v>
      </c>
      <c r="C141" s="21">
        <v>44978.0</v>
      </c>
      <c r="D141" s="21">
        <v>44990.0</v>
      </c>
      <c r="E141" s="9" t="s">
        <v>14</v>
      </c>
      <c r="F141" s="8">
        <v>2.7</v>
      </c>
      <c r="G141" s="8">
        <v>21.0</v>
      </c>
      <c r="H141" s="9">
        <v>1.0</v>
      </c>
      <c r="I141" s="8">
        <v>20.0</v>
      </c>
      <c r="J141" s="9" t="s">
        <v>23</v>
      </c>
      <c r="K141" s="9" t="s">
        <v>26</v>
      </c>
      <c r="L141" s="9">
        <v>1.0</v>
      </c>
      <c r="M141" s="22" t="str">
        <f t="shared" si="2"/>
        <v>OK</v>
      </c>
      <c r="N141" s="19">
        <f t="shared" si="3"/>
        <v>2.7</v>
      </c>
      <c r="R141" s="14"/>
      <c r="S141" s="8"/>
      <c r="U141" s="14"/>
      <c r="V141" s="9"/>
    </row>
    <row r="142">
      <c r="A142" s="20" t="s">
        <v>300</v>
      </c>
      <c r="B142" s="20" t="s">
        <v>301</v>
      </c>
      <c r="C142" s="21">
        <v>45147.0</v>
      </c>
      <c r="D142" s="21">
        <v>45159.0</v>
      </c>
      <c r="E142" s="9" t="s">
        <v>22</v>
      </c>
      <c r="F142" s="8">
        <v>4.7</v>
      </c>
      <c r="G142" s="8">
        <v>35.0</v>
      </c>
      <c r="H142" s="9">
        <v>1.0</v>
      </c>
      <c r="I142" s="8">
        <v>45.0</v>
      </c>
      <c r="J142" s="9" t="s">
        <v>23</v>
      </c>
      <c r="K142" s="9" t="s">
        <v>26</v>
      </c>
      <c r="L142" s="9">
        <v>1.0</v>
      </c>
      <c r="M142" s="22" t="str">
        <f t="shared" si="2"/>
        <v>OK</v>
      </c>
      <c r="N142" s="19">
        <f t="shared" si="3"/>
        <v>4.7</v>
      </c>
      <c r="R142" s="14"/>
      <c r="S142" s="8"/>
      <c r="U142" s="14"/>
      <c r="V142" s="9"/>
    </row>
    <row r="143">
      <c r="A143" s="20" t="s">
        <v>302</v>
      </c>
      <c r="B143" s="20" t="s">
        <v>303</v>
      </c>
      <c r="C143" s="21">
        <v>44987.0</v>
      </c>
      <c r="D143" s="21">
        <v>44999.0</v>
      </c>
      <c r="E143" s="9" t="s">
        <v>38</v>
      </c>
      <c r="F143" s="8">
        <v>1.4</v>
      </c>
      <c r="G143" s="8">
        <v>43.0</v>
      </c>
      <c r="H143" s="9">
        <v>0.0</v>
      </c>
      <c r="I143" s="8">
        <v>29.0</v>
      </c>
      <c r="J143" s="9" t="s">
        <v>32</v>
      </c>
      <c r="K143" s="9" t="s">
        <v>16</v>
      </c>
      <c r="L143" s="9">
        <v>1.0</v>
      </c>
      <c r="M143" s="22" t="str">
        <f t="shared" si="2"/>
        <v>OK</v>
      </c>
      <c r="N143" s="19">
        <f t="shared" si="3"/>
        <v>1.4</v>
      </c>
      <c r="R143" s="14"/>
      <c r="S143" s="8"/>
      <c r="U143" s="14"/>
      <c r="V143" s="9"/>
    </row>
    <row r="144">
      <c r="A144" s="20" t="s">
        <v>304</v>
      </c>
      <c r="B144" s="20" t="s">
        <v>305</v>
      </c>
      <c r="C144" s="21">
        <v>44945.0</v>
      </c>
      <c r="D144" s="21">
        <v>44957.0</v>
      </c>
      <c r="E144" s="9" t="s">
        <v>22</v>
      </c>
      <c r="F144" s="8">
        <v>4.1</v>
      </c>
      <c r="G144" s="8">
        <v>15.0</v>
      </c>
      <c r="H144" s="9">
        <v>1.0</v>
      </c>
      <c r="I144" s="8">
        <v>44.0</v>
      </c>
      <c r="J144" s="9" t="s">
        <v>19</v>
      </c>
      <c r="K144" s="9" t="s">
        <v>26</v>
      </c>
      <c r="L144" s="9">
        <v>0.0</v>
      </c>
      <c r="M144" s="22" t="str">
        <f t="shared" si="2"/>
        <v>OK</v>
      </c>
      <c r="N144" s="19">
        <f t="shared" si="3"/>
        <v>4.1</v>
      </c>
      <c r="R144" s="14"/>
      <c r="S144" s="8"/>
      <c r="U144" s="14"/>
      <c r="V144" s="9"/>
    </row>
    <row r="145">
      <c r="A145" s="20" t="s">
        <v>306</v>
      </c>
      <c r="B145" s="20" t="s">
        <v>307</v>
      </c>
      <c r="C145" s="21">
        <v>45136.0</v>
      </c>
      <c r="D145" s="21">
        <v>45148.0</v>
      </c>
      <c r="E145" s="9" t="s">
        <v>29</v>
      </c>
      <c r="F145" s="8">
        <v>2.2</v>
      </c>
      <c r="G145" s="8">
        <v>85.0</v>
      </c>
      <c r="H145" s="9">
        <v>1.0</v>
      </c>
      <c r="I145" s="8">
        <v>21.0</v>
      </c>
      <c r="J145" s="9" t="s">
        <v>32</v>
      </c>
      <c r="K145" s="9" t="s">
        <v>26</v>
      </c>
      <c r="L145" s="9">
        <v>1.0</v>
      </c>
      <c r="M145" s="22" t="str">
        <f t="shared" si="2"/>
        <v>OK</v>
      </c>
      <c r="N145" s="19">
        <f t="shared" si="3"/>
        <v>2.2</v>
      </c>
      <c r="R145" s="14"/>
      <c r="S145" s="8"/>
      <c r="U145" s="14"/>
      <c r="V145" s="9"/>
    </row>
    <row r="146">
      <c r="A146" s="20" t="s">
        <v>308</v>
      </c>
      <c r="B146" s="20" t="s">
        <v>309</v>
      </c>
      <c r="C146" s="21">
        <v>45080.0</v>
      </c>
      <c r="D146" s="21">
        <v>45092.0</v>
      </c>
      <c r="E146" s="9" t="s">
        <v>22</v>
      </c>
      <c r="F146" s="8">
        <v>0.5</v>
      </c>
      <c r="G146" s="8">
        <v>72.0</v>
      </c>
      <c r="H146" s="9">
        <v>1.0</v>
      </c>
      <c r="I146" s="8">
        <v>53.0</v>
      </c>
      <c r="J146" s="9" t="s">
        <v>35</v>
      </c>
      <c r="K146" s="9" t="s">
        <v>16</v>
      </c>
      <c r="L146" s="9">
        <v>0.0</v>
      </c>
      <c r="M146" s="22" t="str">
        <f t="shared" si="2"/>
        <v>OK</v>
      </c>
      <c r="N146" s="19">
        <f t="shared" si="3"/>
        <v>0.5</v>
      </c>
      <c r="R146" s="14"/>
      <c r="S146" s="8"/>
      <c r="U146" s="14"/>
      <c r="V146" s="9"/>
    </row>
    <row r="147">
      <c r="A147" s="20" t="s">
        <v>310</v>
      </c>
      <c r="B147" s="20" t="s">
        <v>311</v>
      </c>
      <c r="C147" s="21">
        <v>44967.0</v>
      </c>
      <c r="D147" s="21">
        <v>44979.0</v>
      </c>
      <c r="E147" s="9" t="s">
        <v>38</v>
      </c>
      <c r="F147" s="8">
        <v>1.1</v>
      </c>
      <c r="G147" s="8">
        <v>25.0</v>
      </c>
      <c r="H147" s="9">
        <v>0.0</v>
      </c>
      <c r="I147" s="8">
        <v>43.0</v>
      </c>
      <c r="J147" s="9" t="s">
        <v>35</v>
      </c>
      <c r="K147" s="9" t="s">
        <v>16</v>
      </c>
      <c r="L147" s="9">
        <v>1.0</v>
      </c>
      <c r="M147" s="22" t="str">
        <f t="shared" si="2"/>
        <v>OK</v>
      </c>
      <c r="N147" s="19">
        <f t="shared" si="3"/>
        <v>1.1</v>
      </c>
      <c r="R147" s="14"/>
      <c r="S147" s="8"/>
      <c r="U147" s="14"/>
      <c r="V147" s="9"/>
    </row>
    <row r="148">
      <c r="A148" s="20" t="s">
        <v>312</v>
      </c>
      <c r="B148" s="20" t="s">
        <v>313</v>
      </c>
      <c r="C148" s="21">
        <v>45187.0</v>
      </c>
      <c r="D148" s="21">
        <v>45199.0</v>
      </c>
      <c r="E148" s="9" t="s">
        <v>22</v>
      </c>
      <c r="F148" s="8">
        <v>3.8</v>
      </c>
      <c r="G148" s="8">
        <v>17.0</v>
      </c>
      <c r="H148" s="9">
        <v>1.0</v>
      </c>
      <c r="I148" s="8">
        <v>30.0</v>
      </c>
      <c r="J148" s="9" t="s">
        <v>15</v>
      </c>
      <c r="K148" s="9" t="s">
        <v>16</v>
      </c>
      <c r="L148" s="9">
        <v>0.0</v>
      </c>
      <c r="M148" s="22" t="str">
        <f t="shared" si="2"/>
        <v>OK</v>
      </c>
      <c r="N148" s="19">
        <f t="shared" si="3"/>
        <v>3.8</v>
      </c>
      <c r="R148" s="14"/>
      <c r="S148" s="8"/>
      <c r="U148" s="14"/>
      <c r="V148" s="9"/>
    </row>
    <row r="149">
      <c r="A149" s="20" t="s">
        <v>314</v>
      </c>
      <c r="B149" s="20" t="s">
        <v>315</v>
      </c>
      <c r="C149" s="21">
        <v>45024.0</v>
      </c>
      <c r="D149" s="21">
        <v>45036.0</v>
      </c>
      <c r="E149" s="9" t="s">
        <v>38</v>
      </c>
      <c r="F149" s="8">
        <v>0.8</v>
      </c>
      <c r="G149" s="8">
        <v>62.0</v>
      </c>
      <c r="H149" s="9">
        <v>0.0</v>
      </c>
      <c r="I149" s="8">
        <v>51.0</v>
      </c>
      <c r="J149" s="9" t="s">
        <v>23</v>
      </c>
      <c r="K149" s="9" t="s">
        <v>47</v>
      </c>
      <c r="L149" s="9">
        <v>0.0</v>
      </c>
      <c r="M149" s="22" t="str">
        <f t="shared" si="2"/>
        <v>OK</v>
      </c>
      <c r="N149" s="19">
        <f t="shared" si="3"/>
        <v>0.8</v>
      </c>
      <c r="R149" s="14"/>
      <c r="S149" s="8"/>
      <c r="U149" s="14"/>
      <c r="V149" s="9"/>
    </row>
    <row r="150">
      <c r="A150" s="20" t="s">
        <v>316</v>
      </c>
      <c r="B150" s="20" t="s">
        <v>317</v>
      </c>
      <c r="C150" s="21">
        <v>45013.0</v>
      </c>
      <c r="D150" s="21">
        <v>45025.0</v>
      </c>
      <c r="E150" s="9" t="s">
        <v>14</v>
      </c>
      <c r="F150" s="8">
        <v>4.0</v>
      </c>
      <c r="G150" s="8">
        <v>54.0</v>
      </c>
      <c r="H150" s="9">
        <v>0.0</v>
      </c>
      <c r="I150" s="8">
        <v>28.0</v>
      </c>
      <c r="J150" s="9" t="s">
        <v>23</v>
      </c>
      <c r="K150" s="9" t="s">
        <v>26</v>
      </c>
      <c r="L150" s="9">
        <v>1.0</v>
      </c>
      <c r="M150" s="22" t="str">
        <f t="shared" si="2"/>
        <v>OK</v>
      </c>
      <c r="N150" s="19">
        <f t="shared" si="3"/>
        <v>4</v>
      </c>
      <c r="R150" s="14"/>
      <c r="S150" s="8"/>
      <c r="U150" s="14"/>
      <c r="V150" s="9"/>
    </row>
    <row r="151">
      <c r="A151" s="20" t="s">
        <v>318</v>
      </c>
      <c r="B151" s="20" t="s">
        <v>319</v>
      </c>
      <c r="C151" s="21">
        <v>45152.0</v>
      </c>
      <c r="D151" s="21">
        <v>45164.0</v>
      </c>
      <c r="E151" s="9" t="s">
        <v>14</v>
      </c>
      <c r="F151" s="8">
        <v>4.3</v>
      </c>
      <c r="G151" s="8">
        <v>78.0</v>
      </c>
      <c r="H151" s="9">
        <v>1.0</v>
      </c>
      <c r="I151" s="8">
        <v>31.0</v>
      </c>
      <c r="J151" s="9" t="s">
        <v>32</v>
      </c>
      <c r="K151" s="9" t="s">
        <v>16</v>
      </c>
      <c r="L151" s="9">
        <v>1.0</v>
      </c>
      <c r="M151" s="22" t="str">
        <f t="shared" si="2"/>
        <v>OK</v>
      </c>
      <c r="N151" s="19">
        <f t="shared" si="3"/>
        <v>4.3</v>
      </c>
      <c r="R151" s="14"/>
      <c r="S151" s="8"/>
      <c r="U151" s="14"/>
      <c r="V151" s="9"/>
    </row>
    <row r="152">
      <c r="A152" s="20" t="s">
        <v>320</v>
      </c>
      <c r="B152" s="20" t="s">
        <v>321</v>
      </c>
      <c r="C152" s="21">
        <v>45137.0</v>
      </c>
      <c r="D152" s="21">
        <v>45149.0</v>
      </c>
      <c r="E152" s="9" t="s">
        <v>29</v>
      </c>
      <c r="F152" s="8">
        <v>2.8</v>
      </c>
      <c r="G152" s="8">
        <v>6.0</v>
      </c>
      <c r="H152" s="9">
        <v>1.0</v>
      </c>
      <c r="I152" s="8">
        <v>25.0</v>
      </c>
      <c r="J152" s="9" t="s">
        <v>35</v>
      </c>
      <c r="K152" s="9" t="s">
        <v>16</v>
      </c>
      <c r="L152" s="9">
        <v>1.0</v>
      </c>
      <c r="M152" s="22" t="str">
        <f t="shared" si="2"/>
        <v>OK</v>
      </c>
      <c r="N152" s="19">
        <f t="shared" si="3"/>
        <v>2.8</v>
      </c>
      <c r="R152" s="14"/>
      <c r="S152" s="8"/>
      <c r="U152" s="14"/>
      <c r="V152" s="9"/>
    </row>
    <row r="153">
      <c r="A153" s="20" t="s">
        <v>322</v>
      </c>
      <c r="B153" s="20" t="s">
        <v>323</v>
      </c>
      <c r="C153" s="21">
        <v>45090.0</v>
      </c>
      <c r="D153" s="21">
        <v>45102.0</v>
      </c>
      <c r="E153" s="9" t="s">
        <v>38</v>
      </c>
      <c r="F153" s="8">
        <v>1.8</v>
      </c>
      <c r="G153" s="8">
        <v>13.0</v>
      </c>
      <c r="H153" s="9">
        <v>0.0</v>
      </c>
      <c r="I153" s="8">
        <v>42.0</v>
      </c>
      <c r="J153" s="9" t="s">
        <v>19</v>
      </c>
      <c r="K153" s="9" t="s">
        <v>16</v>
      </c>
      <c r="L153" s="9">
        <v>0.0</v>
      </c>
      <c r="M153" s="22" t="str">
        <f t="shared" si="2"/>
        <v>OK</v>
      </c>
      <c r="N153" s="19">
        <f t="shared" si="3"/>
        <v>1.8</v>
      </c>
      <c r="R153" s="14"/>
      <c r="S153" s="8"/>
      <c r="U153" s="14"/>
      <c r="V153" s="9"/>
    </row>
    <row r="154">
      <c r="A154" s="20" t="s">
        <v>324</v>
      </c>
      <c r="B154" s="20" t="s">
        <v>325</v>
      </c>
      <c r="C154" s="21">
        <v>45167.0</v>
      </c>
      <c r="D154" s="21">
        <v>45179.0</v>
      </c>
      <c r="E154" s="9" t="s">
        <v>38</v>
      </c>
      <c r="F154" s="8">
        <v>5.0</v>
      </c>
      <c r="G154" s="8">
        <v>29.0</v>
      </c>
      <c r="H154" s="9">
        <v>1.0</v>
      </c>
      <c r="I154" s="8">
        <v>41.0</v>
      </c>
      <c r="J154" s="9" t="s">
        <v>32</v>
      </c>
      <c r="K154" s="9" t="s">
        <v>16</v>
      </c>
      <c r="L154" s="9">
        <v>1.0</v>
      </c>
      <c r="M154" s="22" t="str">
        <f t="shared" si="2"/>
        <v>OK</v>
      </c>
      <c r="N154" s="19">
        <f t="shared" si="3"/>
        <v>5</v>
      </c>
      <c r="R154" s="14"/>
      <c r="S154" s="8"/>
      <c r="U154" s="14"/>
      <c r="V154" s="9"/>
    </row>
    <row r="155">
      <c r="A155" s="20" t="s">
        <v>326</v>
      </c>
      <c r="B155" s="20" t="s">
        <v>327</v>
      </c>
      <c r="C155" s="21">
        <v>45011.0</v>
      </c>
      <c r="D155" s="21">
        <v>45023.0</v>
      </c>
      <c r="E155" s="9" t="s">
        <v>38</v>
      </c>
      <c r="F155" s="8">
        <v>3.6</v>
      </c>
      <c r="G155" s="8">
        <v>23.0</v>
      </c>
      <c r="H155" s="9">
        <v>1.0</v>
      </c>
      <c r="I155" s="8">
        <v>32.0</v>
      </c>
      <c r="J155" s="9" t="s">
        <v>19</v>
      </c>
      <c r="K155" s="9" t="s">
        <v>26</v>
      </c>
      <c r="L155" s="9">
        <v>1.0</v>
      </c>
      <c r="M155" s="22" t="str">
        <f t="shared" si="2"/>
        <v>OK</v>
      </c>
      <c r="N155" s="19">
        <f t="shared" si="3"/>
        <v>3.6</v>
      </c>
      <c r="R155" s="14"/>
      <c r="S155" s="8"/>
      <c r="U155" s="14"/>
      <c r="V155" s="9"/>
    </row>
    <row r="156">
      <c r="A156" s="20" t="s">
        <v>328</v>
      </c>
      <c r="B156" s="20" t="s">
        <v>329</v>
      </c>
      <c r="C156" s="21">
        <v>45241.0</v>
      </c>
      <c r="D156" s="21">
        <v>45253.0</v>
      </c>
      <c r="E156" s="9" t="s">
        <v>38</v>
      </c>
      <c r="F156" s="8">
        <v>1.6</v>
      </c>
      <c r="G156" s="8">
        <v>80.0</v>
      </c>
      <c r="H156" s="9">
        <v>0.0</v>
      </c>
      <c r="I156" s="8">
        <v>27.0</v>
      </c>
      <c r="J156" s="9" t="s">
        <v>35</v>
      </c>
      <c r="K156" s="9" t="s">
        <v>26</v>
      </c>
      <c r="L156" s="9">
        <v>1.0</v>
      </c>
      <c r="M156" s="22" t="str">
        <f t="shared" si="2"/>
        <v>OK</v>
      </c>
      <c r="N156" s="19">
        <f t="shared" si="3"/>
        <v>1.6</v>
      </c>
      <c r="R156" s="14"/>
      <c r="S156" s="8"/>
      <c r="U156" s="14"/>
      <c r="V156" s="9"/>
    </row>
    <row r="157">
      <c r="A157" s="20" t="s">
        <v>330</v>
      </c>
      <c r="B157" s="20" t="s">
        <v>331</v>
      </c>
      <c r="C157" s="21">
        <v>45026.0</v>
      </c>
      <c r="D157" s="21">
        <v>45038.0</v>
      </c>
      <c r="E157" s="9" t="s">
        <v>38</v>
      </c>
      <c r="F157" s="8">
        <v>0.9</v>
      </c>
      <c r="G157" s="8">
        <v>95.0</v>
      </c>
      <c r="H157" s="9">
        <v>0.0</v>
      </c>
      <c r="I157" s="8">
        <v>40.0</v>
      </c>
      <c r="J157" s="9" t="s">
        <v>35</v>
      </c>
      <c r="K157" s="9" t="s">
        <v>47</v>
      </c>
      <c r="L157" s="9">
        <v>1.0</v>
      </c>
      <c r="M157" s="22" t="str">
        <f t="shared" si="2"/>
        <v>OK</v>
      </c>
      <c r="N157" s="19">
        <f t="shared" si="3"/>
        <v>0.9</v>
      </c>
      <c r="R157" s="14"/>
      <c r="S157" s="8"/>
      <c r="U157" s="14"/>
      <c r="V157" s="9"/>
    </row>
    <row r="158">
      <c r="A158" s="20" t="s">
        <v>332</v>
      </c>
      <c r="B158" s="20" t="s">
        <v>333</v>
      </c>
      <c r="C158" s="21">
        <v>45030.0</v>
      </c>
      <c r="D158" s="21">
        <v>45042.0</v>
      </c>
      <c r="E158" s="9" t="s">
        <v>22</v>
      </c>
      <c r="F158" s="8">
        <v>1.0</v>
      </c>
      <c r="G158" s="8">
        <v>98.0</v>
      </c>
      <c r="H158" s="9">
        <v>1.0</v>
      </c>
      <c r="I158" s="8">
        <v>26.0</v>
      </c>
      <c r="J158" s="9" t="s">
        <v>15</v>
      </c>
      <c r="K158" s="9" t="s">
        <v>16</v>
      </c>
      <c r="L158" s="9">
        <v>1.0</v>
      </c>
      <c r="M158" s="22" t="str">
        <f t="shared" si="2"/>
        <v>OK</v>
      </c>
      <c r="N158" s="19">
        <f t="shared" si="3"/>
        <v>1</v>
      </c>
      <c r="R158" s="14"/>
      <c r="S158" s="8"/>
      <c r="U158" s="14"/>
      <c r="V158" s="9"/>
    </row>
    <row r="159">
      <c r="A159" s="20" t="s">
        <v>334</v>
      </c>
      <c r="B159" s="20" t="s">
        <v>335</v>
      </c>
      <c r="C159" s="21">
        <v>44935.0</v>
      </c>
      <c r="D159" s="21">
        <v>44947.0</v>
      </c>
      <c r="E159" s="9" t="s">
        <v>14</v>
      </c>
      <c r="F159" s="8">
        <v>3.9</v>
      </c>
      <c r="G159" s="8">
        <v>4.0</v>
      </c>
      <c r="H159" s="9">
        <v>1.0</v>
      </c>
      <c r="I159" s="8">
        <v>14.0</v>
      </c>
      <c r="J159" s="9" t="s">
        <v>19</v>
      </c>
      <c r="K159" s="9" t="s">
        <v>26</v>
      </c>
      <c r="L159" s="9">
        <v>1.0</v>
      </c>
      <c r="M159" s="22" t="str">
        <f t="shared" si="2"/>
        <v>OK</v>
      </c>
      <c r="N159" s="19">
        <f t="shared" si="3"/>
        <v>3.9</v>
      </c>
      <c r="R159" s="14"/>
      <c r="S159" s="8"/>
      <c r="U159" s="14"/>
      <c r="V159" s="9"/>
    </row>
    <row r="160">
      <c r="A160" s="20" t="s">
        <v>336</v>
      </c>
      <c r="B160" s="20" t="s">
        <v>337</v>
      </c>
      <c r="C160" s="21">
        <v>45048.0</v>
      </c>
      <c r="D160" s="21">
        <v>45060.0</v>
      </c>
      <c r="E160" s="9" t="s">
        <v>38</v>
      </c>
      <c r="F160" s="8">
        <v>3.4</v>
      </c>
      <c r="G160" s="8">
        <v>3.0</v>
      </c>
      <c r="H160" s="9">
        <v>0.0</v>
      </c>
      <c r="I160" s="8">
        <v>17.0</v>
      </c>
      <c r="J160" s="9" t="s">
        <v>23</v>
      </c>
      <c r="K160" s="9" t="s">
        <v>26</v>
      </c>
      <c r="L160" s="9">
        <v>0.0</v>
      </c>
      <c r="M160" s="22" t="str">
        <f t="shared" si="2"/>
        <v>OK</v>
      </c>
      <c r="N160" s="19">
        <f t="shared" si="3"/>
        <v>3.4</v>
      </c>
      <c r="R160" s="14"/>
      <c r="S160" s="8"/>
      <c r="U160" s="14"/>
      <c r="V160" s="9"/>
    </row>
    <row r="161">
      <c r="A161" s="20" t="s">
        <v>338</v>
      </c>
      <c r="B161" s="20" t="s">
        <v>339</v>
      </c>
      <c r="C161" s="21">
        <v>44953.0</v>
      </c>
      <c r="D161" s="21">
        <v>44965.0</v>
      </c>
      <c r="E161" s="9" t="s">
        <v>29</v>
      </c>
      <c r="F161" s="8">
        <v>2.4</v>
      </c>
      <c r="G161" s="8">
        <v>97.0</v>
      </c>
      <c r="H161" s="9">
        <v>1.0</v>
      </c>
      <c r="I161" s="8">
        <v>24.0</v>
      </c>
      <c r="J161" s="9" t="s">
        <v>23</v>
      </c>
      <c r="K161" s="9" t="s">
        <v>16</v>
      </c>
      <c r="L161" s="9">
        <v>1.0</v>
      </c>
      <c r="M161" s="22" t="str">
        <f t="shared" si="2"/>
        <v>OK</v>
      </c>
      <c r="N161" s="19">
        <f t="shared" si="3"/>
        <v>2.4</v>
      </c>
      <c r="R161" s="14"/>
      <c r="S161" s="8"/>
      <c r="U161" s="14"/>
      <c r="V161" s="9"/>
    </row>
    <row r="162">
      <c r="A162" s="20" t="s">
        <v>340</v>
      </c>
      <c r="B162" s="20" t="s">
        <v>341</v>
      </c>
      <c r="C162" s="21">
        <v>45031.0</v>
      </c>
      <c r="D162" s="21">
        <v>45043.0</v>
      </c>
      <c r="E162" s="9" t="s">
        <v>38</v>
      </c>
      <c r="F162" s="8">
        <v>4.6</v>
      </c>
      <c r="G162" s="8">
        <v>27.0</v>
      </c>
      <c r="H162" s="9">
        <v>1.0</v>
      </c>
      <c r="I162" s="8">
        <v>46.0</v>
      </c>
      <c r="J162" s="9" t="s">
        <v>19</v>
      </c>
      <c r="K162" s="9" t="s">
        <v>16</v>
      </c>
      <c r="L162" s="9">
        <v>0.0</v>
      </c>
      <c r="M162" s="22" t="str">
        <f t="shared" si="2"/>
        <v>OK</v>
      </c>
      <c r="N162" s="19">
        <f t="shared" si="3"/>
        <v>4.6</v>
      </c>
      <c r="R162" s="14"/>
      <c r="S162" s="8"/>
      <c r="U162" s="14"/>
      <c r="V162" s="9"/>
    </row>
    <row r="163">
      <c r="A163" s="20" t="s">
        <v>342</v>
      </c>
      <c r="B163" s="20" t="s">
        <v>343</v>
      </c>
      <c r="C163" s="21">
        <v>45022.0</v>
      </c>
      <c r="D163" s="21">
        <v>45034.0</v>
      </c>
      <c r="E163" s="9" t="s">
        <v>14</v>
      </c>
      <c r="F163" s="8">
        <v>2.8</v>
      </c>
      <c r="G163" s="8">
        <v>11.0</v>
      </c>
      <c r="H163" s="9">
        <v>0.0</v>
      </c>
      <c r="I163" s="8">
        <v>52.0</v>
      </c>
      <c r="J163" s="9" t="s">
        <v>35</v>
      </c>
      <c r="K163" s="9" t="s">
        <v>47</v>
      </c>
      <c r="L163" s="9">
        <v>0.0</v>
      </c>
      <c r="M163" s="22" t="str">
        <f t="shared" si="2"/>
        <v>OK</v>
      </c>
      <c r="N163" s="19">
        <f t="shared" si="3"/>
        <v>2.8</v>
      </c>
      <c r="R163" s="14"/>
      <c r="S163" s="8"/>
      <c r="U163" s="14"/>
      <c r="V163" s="9"/>
    </row>
    <row r="164">
      <c r="A164" s="20" t="s">
        <v>344</v>
      </c>
      <c r="B164" s="20" t="s">
        <v>345</v>
      </c>
      <c r="C164" s="21">
        <v>44977.0</v>
      </c>
      <c r="D164" s="21">
        <v>44989.0</v>
      </c>
      <c r="E164" s="9" t="s">
        <v>14</v>
      </c>
      <c r="F164" s="8">
        <v>4.4</v>
      </c>
      <c r="G164" s="8">
        <v>51.0</v>
      </c>
      <c r="H164" s="9">
        <v>1.0</v>
      </c>
      <c r="I164" s="8">
        <v>33.0</v>
      </c>
      <c r="J164" s="9" t="s">
        <v>19</v>
      </c>
      <c r="K164" s="9" t="s">
        <v>47</v>
      </c>
      <c r="L164" s="9">
        <v>0.0</v>
      </c>
      <c r="M164" s="22" t="str">
        <f t="shared" si="2"/>
        <v>OK</v>
      </c>
      <c r="N164" s="19">
        <f t="shared" si="3"/>
        <v>4.4</v>
      </c>
      <c r="R164" s="14"/>
      <c r="S164" s="8"/>
      <c r="U164" s="14"/>
      <c r="V164" s="9"/>
    </row>
    <row r="165">
      <c r="A165" s="20" t="s">
        <v>346</v>
      </c>
      <c r="B165" s="20" t="s">
        <v>347</v>
      </c>
      <c r="C165" s="21">
        <v>45156.0</v>
      </c>
      <c r="D165" s="21">
        <v>45168.0</v>
      </c>
      <c r="E165" s="9" t="s">
        <v>38</v>
      </c>
      <c r="F165" s="8">
        <v>1.4</v>
      </c>
      <c r="G165" s="8">
        <v>67.0</v>
      </c>
      <c r="H165" s="9">
        <v>0.0</v>
      </c>
      <c r="I165" s="8">
        <v>16.0</v>
      </c>
      <c r="J165" s="9" t="s">
        <v>32</v>
      </c>
      <c r="K165" s="9" t="s">
        <v>16</v>
      </c>
      <c r="L165" s="9">
        <v>1.0</v>
      </c>
      <c r="M165" s="22" t="str">
        <f t="shared" si="2"/>
        <v>OK</v>
      </c>
      <c r="N165" s="19">
        <f t="shared" si="3"/>
        <v>1.4</v>
      </c>
      <c r="R165" s="14"/>
      <c r="S165" s="8"/>
      <c r="U165" s="14"/>
      <c r="V165" s="9"/>
    </row>
    <row r="166">
      <c r="A166" s="20" t="s">
        <v>348</v>
      </c>
      <c r="B166" s="20" t="s">
        <v>349</v>
      </c>
      <c r="C166" s="21">
        <v>44946.0</v>
      </c>
      <c r="D166" s="21">
        <v>44958.0</v>
      </c>
      <c r="E166" s="9" t="s">
        <v>29</v>
      </c>
      <c r="F166" s="8">
        <v>4.9</v>
      </c>
      <c r="G166" s="8">
        <v>77.0</v>
      </c>
      <c r="H166" s="9">
        <v>1.0</v>
      </c>
      <c r="I166" s="8">
        <v>18.0</v>
      </c>
      <c r="J166" s="9" t="s">
        <v>19</v>
      </c>
      <c r="K166" s="9" t="s">
        <v>16</v>
      </c>
      <c r="L166" s="9">
        <v>1.0</v>
      </c>
      <c r="M166" s="22" t="str">
        <f t="shared" si="2"/>
        <v>OK</v>
      </c>
      <c r="N166" s="19">
        <f t="shared" si="3"/>
        <v>4.9</v>
      </c>
      <c r="R166" s="14"/>
      <c r="S166" s="8"/>
      <c r="U166" s="14"/>
      <c r="V166" s="9"/>
    </row>
    <row r="167">
      <c r="A167" s="20" t="s">
        <v>350</v>
      </c>
      <c r="B167" s="20" t="s">
        <v>351</v>
      </c>
      <c r="C167" s="21">
        <v>45179.0</v>
      </c>
      <c r="D167" s="21">
        <v>45191.0</v>
      </c>
      <c r="E167" s="9" t="s">
        <v>38</v>
      </c>
      <c r="F167" s="8">
        <v>1.8</v>
      </c>
      <c r="G167" s="8">
        <v>89.0</v>
      </c>
      <c r="H167" s="9">
        <v>1.0</v>
      </c>
      <c r="I167" s="8">
        <v>22.0</v>
      </c>
      <c r="J167" s="9" t="s">
        <v>35</v>
      </c>
      <c r="K167" s="9" t="s">
        <v>26</v>
      </c>
      <c r="L167" s="9">
        <v>1.0</v>
      </c>
      <c r="M167" s="22" t="str">
        <f t="shared" si="2"/>
        <v>OK</v>
      </c>
      <c r="N167" s="19">
        <f t="shared" si="3"/>
        <v>1.8</v>
      </c>
      <c r="R167" s="14"/>
      <c r="S167" s="8"/>
      <c r="U167" s="14"/>
      <c r="V167" s="9"/>
    </row>
    <row r="168">
      <c r="A168" s="20" t="s">
        <v>352</v>
      </c>
      <c r="B168" s="20" t="s">
        <v>353</v>
      </c>
      <c r="C168" s="21">
        <v>45214.0</v>
      </c>
      <c r="D168" s="21">
        <v>45226.0</v>
      </c>
      <c r="E168" s="9" t="s">
        <v>22</v>
      </c>
      <c r="F168" s="8">
        <v>2.7</v>
      </c>
      <c r="G168" s="8">
        <v>84.0</v>
      </c>
      <c r="H168" s="9">
        <v>0.0</v>
      </c>
      <c r="I168" s="8">
        <v>54.0</v>
      </c>
      <c r="J168" s="9" t="s">
        <v>35</v>
      </c>
      <c r="K168" s="9" t="s">
        <v>47</v>
      </c>
      <c r="L168" s="9">
        <v>1.0</v>
      </c>
      <c r="M168" s="22" t="str">
        <f t="shared" si="2"/>
        <v>OK</v>
      </c>
      <c r="N168" s="19">
        <f t="shared" si="3"/>
        <v>2.7</v>
      </c>
      <c r="R168" s="14"/>
      <c r="S168" s="8"/>
      <c r="U168" s="14"/>
      <c r="V168" s="9"/>
    </row>
    <row r="169">
      <c r="A169" s="20" t="s">
        <v>354</v>
      </c>
      <c r="B169" s="20" t="s">
        <v>355</v>
      </c>
      <c r="C169" s="21">
        <v>45220.0</v>
      </c>
      <c r="D169" s="21">
        <v>45232.0</v>
      </c>
      <c r="E169" s="9" t="s">
        <v>29</v>
      </c>
      <c r="F169" s="8">
        <v>0.1</v>
      </c>
      <c r="G169" s="8">
        <v>18.0</v>
      </c>
      <c r="H169" s="9">
        <v>1.0</v>
      </c>
      <c r="I169" s="8">
        <v>48.0</v>
      </c>
      <c r="J169" s="9" t="s">
        <v>23</v>
      </c>
      <c r="K169" s="9" t="s">
        <v>47</v>
      </c>
      <c r="L169" s="9">
        <v>0.0</v>
      </c>
      <c r="M169" s="22" t="str">
        <f t="shared" si="2"/>
        <v>OK</v>
      </c>
      <c r="N169" s="19">
        <f t="shared" si="3"/>
        <v>0.1</v>
      </c>
      <c r="R169" s="14"/>
      <c r="S169" s="8"/>
      <c r="U169" s="14"/>
      <c r="V169" s="9"/>
    </row>
    <row r="170">
      <c r="A170" s="20" t="s">
        <v>356</v>
      </c>
      <c r="B170" s="20" t="s">
        <v>357</v>
      </c>
      <c r="C170" s="21">
        <v>45066.0</v>
      </c>
      <c r="D170" s="21">
        <v>45078.0</v>
      </c>
      <c r="E170" s="9" t="s">
        <v>38</v>
      </c>
      <c r="F170" s="8">
        <v>2.0</v>
      </c>
      <c r="G170" s="8">
        <v>63.0</v>
      </c>
      <c r="H170" s="9">
        <v>1.0</v>
      </c>
      <c r="I170" s="8">
        <v>35.0</v>
      </c>
      <c r="J170" s="9" t="s">
        <v>32</v>
      </c>
      <c r="K170" s="9" t="s">
        <v>26</v>
      </c>
      <c r="L170" s="9">
        <v>0.0</v>
      </c>
      <c r="M170" s="22" t="str">
        <f t="shared" si="2"/>
        <v>OK</v>
      </c>
      <c r="N170" s="19">
        <f t="shared" si="3"/>
        <v>2</v>
      </c>
      <c r="R170" s="14"/>
      <c r="S170" s="8"/>
      <c r="U170" s="14"/>
      <c r="V170" s="9"/>
    </row>
    <row r="171">
      <c r="A171" s="20" t="s">
        <v>358</v>
      </c>
      <c r="B171" s="20" t="s">
        <v>359</v>
      </c>
      <c r="C171" s="21">
        <v>45262.0</v>
      </c>
      <c r="D171" s="21">
        <v>45274.0</v>
      </c>
      <c r="E171" s="9" t="s">
        <v>29</v>
      </c>
      <c r="F171" s="8">
        <v>5.0</v>
      </c>
      <c r="G171" s="8">
        <v>93.0</v>
      </c>
      <c r="H171" s="9">
        <v>1.0</v>
      </c>
      <c r="I171" s="8">
        <v>19.0</v>
      </c>
      <c r="J171" s="9" t="s">
        <v>19</v>
      </c>
      <c r="K171" s="9" t="s">
        <v>16</v>
      </c>
      <c r="L171" s="9">
        <v>1.0</v>
      </c>
      <c r="M171" s="22" t="str">
        <f t="shared" si="2"/>
        <v>OK</v>
      </c>
      <c r="N171" s="19">
        <f t="shared" si="3"/>
        <v>5</v>
      </c>
      <c r="R171" s="14"/>
      <c r="S171" s="8"/>
      <c r="U171" s="14"/>
      <c r="V171" s="9"/>
    </row>
    <row r="172">
      <c r="A172" s="20" t="s">
        <v>360</v>
      </c>
      <c r="B172" s="20" t="s">
        <v>361</v>
      </c>
      <c r="C172" s="21">
        <v>45236.0</v>
      </c>
      <c r="D172" s="21">
        <v>45248.0</v>
      </c>
      <c r="E172" s="9" t="s">
        <v>38</v>
      </c>
      <c r="F172" s="8">
        <v>0.3</v>
      </c>
      <c r="G172" s="8">
        <v>38.0</v>
      </c>
      <c r="H172" s="9">
        <v>1.0</v>
      </c>
      <c r="I172" s="8">
        <v>49.0</v>
      </c>
      <c r="J172" s="9" t="s">
        <v>35</v>
      </c>
      <c r="K172" s="9" t="s">
        <v>47</v>
      </c>
      <c r="L172" s="9">
        <v>0.0</v>
      </c>
      <c r="M172" s="22" t="str">
        <f t="shared" si="2"/>
        <v>OK</v>
      </c>
      <c r="N172" s="19">
        <f t="shared" si="3"/>
        <v>0.3</v>
      </c>
      <c r="R172" s="14"/>
      <c r="S172" s="8"/>
      <c r="U172" s="14"/>
      <c r="V172" s="9"/>
    </row>
    <row r="173">
      <c r="A173" s="20" t="s">
        <v>362</v>
      </c>
      <c r="B173" s="20" t="s">
        <v>363</v>
      </c>
      <c r="C173" s="21">
        <v>45059.0</v>
      </c>
      <c r="D173" s="21">
        <v>45071.0</v>
      </c>
      <c r="E173" s="9" t="s">
        <v>29</v>
      </c>
      <c r="F173" s="8">
        <v>4.5</v>
      </c>
      <c r="G173" s="8">
        <v>76.0</v>
      </c>
      <c r="H173" s="9">
        <v>0.0</v>
      </c>
      <c r="I173" s="8">
        <v>12.0</v>
      </c>
      <c r="J173" s="9" t="s">
        <v>23</v>
      </c>
      <c r="K173" s="9" t="s">
        <v>47</v>
      </c>
      <c r="L173" s="9">
        <v>0.0</v>
      </c>
      <c r="M173" s="22" t="str">
        <f t="shared" si="2"/>
        <v>OK</v>
      </c>
      <c r="N173" s="19">
        <f t="shared" si="3"/>
        <v>4.5</v>
      </c>
      <c r="R173" s="14"/>
      <c r="S173" s="8"/>
      <c r="U173" s="14"/>
      <c r="V173" s="9"/>
    </row>
    <row r="174">
      <c r="A174" s="20" t="s">
        <v>364</v>
      </c>
      <c r="B174" s="20" t="s">
        <v>365</v>
      </c>
      <c r="C174" s="21">
        <v>45169.0</v>
      </c>
      <c r="D174" s="21">
        <v>45181.0</v>
      </c>
      <c r="E174" s="9" t="s">
        <v>29</v>
      </c>
      <c r="F174" s="8">
        <v>4.8</v>
      </c>
      <c r="G174" s="8">
        <v>28.0</v>
      </c>
      <c r="H174" s="9">
        <v>0.0</v>
      </c>
      <c r="I174" s="8">
        <v>39.0</v>
      </c>
      <c r="J174" s="9" t="s">
        <v>35</v>
      </c>
      <c r="K174" s="9" t="s">
        <v>16</v>
      </c>
      <c r="L174" s="9">
        <v>1.0</v>
      </c>
      <c r="M174" s="22" t="str">
        <f t="shared" si="2"/>
        <v>OK</v>
      </c>
      <c r="N174" s="19">
        <f t="shared" si="3"/>
        <v>4.8</v>
      </c>
      <c r="R174" s="14"/>
      <c r="S174" s="8"/>
      <c r="U174" s="14"/>
      <c r="V174" s="9"/>
    </row>
    <row r="175">
      <c r="A175" s="20" t="s">
        <v>366</v>
      </c>
      <c r="B175" s="20" t="s">
        <v>367</v>
      </c>
      <c r="C175" s="21">
        <v>44952.0</v>
      </c>
      <c r="D175" s="21">
        <v>44964.0</v>
      </c>
      <c r="E175" s="9" t="s">
        <v>14</v>
      </c>
      <c r="F175" s="8">
        <v>4.2</v>
      </c>
      <c r="G175" s="8">
        <v>22.0</v>
      </c>
      <c r="H175" s="9">
        <v>1.0</v>
      </c>
      <c r="I175" s="8">
        <v>23.0</v>
      </c>
      <c r="J175" s="9" t="s">
        <v>15</v>
      </c>
      <c r="K175" s="9" t="s">
        <v>47</v>
      </c>
      <c r="L175" s="9">
        <v>1.0</v>
      </c>
      <c r="M175" s="22" t="str">
        <f t="shared" si="2"/>
        <v>OK</v>
      </c>
      <c r="N175" s="19">
        <f t="shared" si="3"/>
        <v>4.2</v>
      </c>
      <c r="R175" s="14"/>
      <c r="S175" s="8"/>
      <c r="U175" s="14"/>
      <c r="V175" s="9"/>
    </row>
    <row r="176">
      <c r="A176" s="20" t="s">
        <v>368</v>
      </c>
      <c r="B176" s="20" t="s">
        <v>369</v>
      </c>
      <c r="C176" s="21">
        <v>45003.0</v>
      </c>
      <c r="D176" s="21">
        <v>45015.0</v>
      </c>
      <c r="E176" s="9" t="s">
        <v>29</v>
      </c>
      <c r="F176" s="8">
        <v>1.3</v>
      </c>
      <c r="G176" s="8">
        <v>64.0</v>
      </c>
      <c r="H176" s="9">
        <v>0.0</v>
      </c>
      <c r="I176" s="8">
        <v>36.0</v>
      </c>
      <c r="J176" s="9" t="s">
        <v>32</v>
      </c>
      <c r="K176" s="9" t="s">
        <v>26</v>
      </c>
      <c r="L176" s="9">
        <v>1.0</v>
      </c>
      <c r="M176" s="22" t="str">
        <f t="shared" si="2"/>
        <v>OK</v>
      </c>
      <c r="N176" s="19">
        <f t="shared" si="3"/>
        <v>1.3</v>
      </c>
      <c r="R176" s="14"/>
      <c r="S176" s="8"/>
      <c r="U176" s="14"/>
      <c r="V176" s="9"/>
    </row>
    <row r="177">
      <c r="A177" s="20" t="s">
        <v>370</v>
      </c>
      <c r="B177" s="20" t="s">
        <v>371</v>
      </c>
      <c r="C177" s="21">
        <v>45183.0</v>
      </c>
      <c r="D177" s="21">
        <v>45195.0</v>
      </c>
      <c r="E177" s="9" t="s">
        <v>29</v>
      </c>
      <c r="F177" s="8">
        <v>4.3</v>
      </c>
      <c r="G177" s="8">
        <v>91.0</v>
      </c>
      <c r="H177" s="9">
        <v>1.0</v>
      </c>
      <c r="I177" s="8">
        <v>34.0</v>
      </c>
      <c r="J177" s="9" t="s">
        <v>32</v>
      </c>
      <c r="K177" s="9" t="s">
        <v>26</v>
      </c>
      <c r="L177" s="9">
        <v>0.0</v>
      </c>
      <c r="M177" s="22" t="str">
        <f t="shared" si="2"/>
        <v>OK</v>
      </c>
      <c r="N177" s="19">
        <f t="shared" si="3"/>
        <v>4.3</v>
      </c>
      <c r="R177" s="14"/>
      <c r="S177" s="8"/>
      <c r="U177" s="14"/>
      <c r="V177" s="9"/>
    </row>
    <row r="178">
      <c r="A178" s="20" t="s">
        <v>372</v>
      </c>
      <c r="B178" s="20" t="s">
        <v>373</v>
      </c>
      <c r="C178" s="21">
        <v>45279.0</v>
      </c>
      <c r="D178" s="21">
        <v>45291.0</v>
      </c>
      <c r="E178" s="9" t="s">
        <v>38</v>
      </c>
      <c r="F178" s="8">
        <v>4.7</v>
      </c>
      <c r="G178" s="8">
        <v>2.0</v>
      </c>
      <c r="H178" s="9">
        <v>0.0</v>
      </c>
      <c r="I178" s="8">
        <v>13.0</v>
      </c>
      <c r="J178" s="9" t="s">
        <v>15</v>
      </c>
      <c r="K178" s="9" t="s">
        <v>16</v>
      </c>
      <c r="L178" s="9">
        <v>1.0</v>
      </c>
      <c r="M178" s="22" t="str">
        <f t="shared" si="2"/>
        <v>OK</v>
      </c>
      <c r="N178" s="19">
        <f t="shared" si="3"/>
        <v>4.7</v>
      </c>
      <c r="R178" s="14"/>
      <c r="S178" s="8"/>
      <c r="U178" s="14"/>
      <c r="V178" s="9"/>
    </row>
    <row r="179">
      <c r="A179" s="20" t="s">
        <v>374</v>
      </c>
      <c r="B179" s="20" t="s">
        <v>375</v>
      </c>
      <c r="C179" s="21">
        <v>45154.0</v>
      </c>
      <c r="D179" s="21">
        <v>45166.0</v>
      </c>
      <c r="E179" s="9" t="s">
        <v>14</v>
      </c>
      <c r="F179" s="8">
        <v>0.8</v>
      </c>
      <c r="G179" s="8">
        <v>48.0</v>
      </c>
      <c r="H179" s="9">
        <v>1.0</v>
      </c>
      <c r="I179" s="8">
        <v>15.0</v>
      </c>
      <c r="J179" s="9" t="s">
        <v>15</v>
      </c>
      <c r="K179" s="9" t="s">
        <v>16</v>
      </c>
      <c r="L179" s="9">
        <v>1.0</v>
      </c>
      <c r="M179" s="22" t="str">
        <f t="shared" si="2"/>
        <v>OK</v>
      </c>
      <c r="N179" s="19">
        <f t="shared" si="3"/>
        <v>0.8</v>
      </c>
      <c r="R179" s="14"/>
      <c r="S179" s="8"/>
      <c r="U179" s="14"/>
      <c r="V179" s="9"/>
    </row>
    <row r="180">
      <c r="A180" s="20" t="s">
        <v>376</v>
      </c>
      <c r="B180" s="20" t="s">
        <v>377</v>
      </c>
      <c r="C180" s="21">
        <v>45287.0</v>
      </c>
      <c r="D180" s="21">
        <v>45299.0</v>
      </c>
      <c r="E180" s="9" t="s">
        <v>38</v>
      </c>
      <c r="F180" s="8">
        <v>2.9</v>
      </c>
      <c r="G180" s="8">
        <v>53.0</v>
      </c>
      <c r="H180" s="9">
        <v>0.0</v>
      </c>
      <c r="I180" s="8">
        <v>37.0</v>
      </c>
      <c r="J180" s="9" t="s">
        <v>35</v>
      </c>
      <c r="K180" s="9" t="s">
        <v>16</v>
      </c>
      <c r="L180" s="9">
        <v>1.0</v>
      </c>
      <c r="M180" s="22" t="str">
        <f t="shared" si="2"/>
        <v>OK</v>
      </c>
      <c r="N180" s="19">
        <f t="shared" si="3"/>
        <v>2.9</v>
      </c>
      <c r="R180" s="14"/>
      <c r="S180" s="8"/>
      <c r="U180" s="14"/>
      <c r="V180" s="9"/>
    </row>
    <row r="181">
      <c r="A181" s="20" t="s">
        <v>378</v>
      </c>
      <c r="B181" s="20" t="s">
        <v>379</v>
      </c>
      <c r="C181" s="21">
        <v>45010.0</v>
      </c>
      <c r="D181" s="21">
        <v>45022.0</v>
      </c>
      <c r="E181" s="9" t="s">
        <v>38</v>
      </c>
      <c r="F181" s="8">
        <v>0.0</v>
      </c>
      <c r="G181" s="8">
        <v>37.0</v>
      </c>
      <c r="H181" s="9">
        <v>1.0</v>
      </c>
      <c r="I181" s="8">
        <v>47.0</v>
      </c>
      <c r="J181" s="9" t="s">
        <v>23</v>
      </c>
      <c r="K181" s="9" t="s">
        <v>26</v>
      </c>
      <c r="L181" s="9">
        <v>0.0</v>
      </c>
      <c r="M181" s="22" t="str">
        <f t="shared" si="2"/>
        <v>OK</v>
      </c>
      <c r="N181" s="19">
        <f t="shared" si="3"/>
        <v>0</v>
      </c>
      <c r="R181" s="14"/>
      <c r="S181" s="8"/>
      <c r="U181" s="14"/>
      <c r="V181" s="9"/>
    </row>
    <row r="182">
      <c r="A182" s="20" t="s">
        <v>380</v>
      </c>
      <c r="B182" s="20" t="s">
        <v>381</v>
      </c>
      <c r="C182" s="21">
        <v>45050.0</v>
      </c>
      <c r="D182" s="21">
        <v>45062.0</v>
      </c>
      <c r="E182" s="9" t="s">
        <v>22</v>
      </c>
      <c r="F182" s="8">
        <v>1.6</v>
      </c>
      <c r="G182" s="8">
        <v>20.0</v>
      </c>
      <c r="H182" s="9">
        <v>1.0</v>
      </c>
      <c r="I182" s="8">
        <v>38.0</v>
      </c>
      <c r="J182" s="9" t="s">
        <v>35</v>
      </c>
      <c r="K182" s="9" t="s">
        <v>16</v>
      </c>
      <c r="L182" s="9">
        <v>0.0</v>
      </c>
      <c r="M182" s="22" t="str">
        <f t="shared" si="2"/>
        <v>OK</v>
      </c>
      <c r="N182" s="19">
        <f t="shared" si="3"/>
        <v>1.6</v>
      </c>
      <c r="R182" s="14"/>
      <c r="S182" s="8"/>
      <c r="U182" s="14"/>
      <c r="V182" s="9"/>
    </row>
    <row r="183">
      <c r="A183" s="20" t="s">
        <v>382</v>
      </c>
      <c r="B183" s="20" t="s">
        <v>383</v>
      </c>
      <c r="C183" s="21">
        <v>45026.0</v>
      </c>
      <c r="D183" s="21">
        <v>45038.0</v>
      </c>
      <c r="E183" s="9" t="s">
        <v>38</v>
      </c>
      <c r="F183" s="8">
        <v>1.1</v>
      </c>
      <c r="G183" s="8">
        <v>16.0</v>
      </c>
      <c r="H183" s="9">
        <v>0.0</v>
      </c>
      <c r="I183" s="8">
        <v>56.0</v>
      </c>
      <c r="J183" s="9" t="s">
        <v>35</v>
      </c>
      <c r="K183" s="9" t="s">
        <v>16</v>
      </c>
      <c r="L183" s="9">
        <v>0.0</v>
      </c>
      <c r="M183" s="22" t="str">
        <f t="shared" si="2"/>
        <v>OK</v>
      </c>
      <c r="N183" s="19">
        <f t="shared" si="3"/>
        <v>1.1</v>
      </c>
      <c r="R183" s="14"/>
      <c r="S183" s="8"/>
      <c r="U183" s="14"/>
      <c r="V183" s="9"/>
    </row>
    <row r="184">
      <c r="A184" s="20" t="s">
        <v>384</v>
      </c>
      <c r="B184" s="20" t="s">
        <v>385</v>
      </c>
      <c r="C184" s="21">
        <v>45276.0</v>
      </c>
      <c r="D184" s="21">
        <v>45288.0</v>
      </c>
      <c r="E184" s="9" t="s">
        <v>22</v>
      </c>
      <c r="F184" s="8">
        <v>3.6</v>
      </c>
      <c r="G184" s="8">
        <v>73.0</v>
      </c>
      <c r="H184" s="9">
        <v>0.0</v>
      </c>
      <c r="I184" s="8">
        <v>54.0</v>
      </c>
      <c r="J184" s="9" t="s">
        <v>19</v>
      </c>
      <c r="K184" s="9" t="s">
        <v>26</v>
      </c>
      <c r="L184" s="9">
        <v>0.0</v>
      </c>
      <c r="M184" s="22" t="str">
        <f t="shared" si="2"/>
        <v>OK</v>
      </c>
      <c r="N184" s="19">
        <f t="shared" si="3"/>
        <v>3.6</v>
      </c>
      <c r="R184" s="14"/>
      <c r="S184" s="8"/>
      <c r="U184" s="14"/>
      <c r="V184" s="9"/>
    </row>
    <row r="185">
      <c r="A185" s="20" t="s">
        <v>386</v>
      </c>
      <c r="B185" s="20" t="s">
        <v>387</v>
      </c>
      <c r="C185" s="21">
        <v>45142.0</v>
      </c>
      <c r="D185" s="21">
        <v>45154.0</v>
      </c>
      <c r="E185" s="9" t="s">
        <v>38</v>
      </c>
      <c r="F185" s="8">
        <v>1.7</v>
      </c>
      <c r="G185" s="8">
        <v>1.0</v>
      </c>
      <c r="H185" s="9">
        <v>1.0</v>
      </c>
      <c r="I185" s="8">
        <v>45.0</v>
      </c>
      <c r="J185" s="9" t="s">
        <v>19</v>
      </c>
      <c r="K185" s="9" t="s">
        <v>47</v>
      </c>
      <c r="L185" s="9">
        <v>0.0</v>
      </c>
      <c r="M185" s="22" t="str">
        <f t="shared" si="2"/>
        <v>OK</v>
      </c>
      <c r="N185" s="19">
        <f t="shared" si="3"/>
        <v>1.7</v>
      </c>
      <c r="R185" s="14"/>
      <c r="S185" s="8"/>
      <c r="U185" s="14"/>
      <c r="V185" s="9"/>
    </row>
    <row r="186">
      <c r="A186" s="20" t="s">
        <v>388</v>
      </c>
      <c r="B186" s="20" t="s">
        <v>389</v>
      </c>
      <c r="C186" s="21">
        <v>45208.0</v>
      </c>
      <c r="D186" s="21">
        <v>45220.0</v>
      </c>
      <c r="E186" s="9" t="s">
        <v>14</v>
      </c>
      <c r="F186" s="8">
        <v>0.5</v>
      </c>
      <c r="G186" s="8">
        <v>71.0</v>
      </c>
      <c r="H186" s="9">
        <v>0.0</v>
      </c>
      <c r="I186" s="8">
        <v>21.0</v>
      </c>
      <c r="J186" s="9" t="s">
        <v>15</v>
      </c>
      <c r="K186" s="9" t="s">
        <v>16</v>
      </c>
      <c r="L186" s="9">
        <v>1.0</v>
      </c>
      <c r="M186" s="22" t="str">
        <f t="shared" si="2"/>
        <v>OK</v>
      </c>
      <c r="N186" s="19">
        <f t="shared" si="3"/>
        <v>0.5</v>
      </c>
      <c r="R186" s="14"/>
      <c r="S186" s="8"/>
      <c r="U186" s="14"/>
      <c r="V186" s="9"/>
    </row>
    <row r="187">
      <c r="A187" s="20" t="s">
        <v>390</v>
      </c>
      <c r="B187" s="20" t="s">
        <v>391</v>
      </c>
      <c r="C187" s="21">
        <v>45139.0</v>
      </c>
      <c r="D187" s="21">
        <v>45151.0</v>
      </c>
      <c r="E187" s="9" t="s">
        <v>29</v>
      </c>
      <c r="F187" s="8">
        <v>3.8</v>
      </c>
      <c r="G187" s="8">
        <v>55.0</v>
      </c>
      <c r="H187" s="9">
        <v>1.0</v>
      </c>
      <c r="I187" s="8">
        <v>36.0</v>
      </c>
      <c r="J187" s="9" t="s">
        <v>23</v>
      </c>
      <c r="K187" s="9" t="s">
        <v>26</v>
      </c>
      <c r="L187" s="9">
        <v>0.0</v>
      </c>
      <c r="M187" s="22" t="str">
        <f t="shared" si="2"/>
        <v>OK</v>
      </c>
      <c r="N187" s="19">
        <f t="shared" si="3"/>
        <v>3.8</v>
      </c>
      <c r="R187" s="14"/>
      <c r="S187" s="8"/>
      <c r="U187" s="14"/>
      <c r="V187" s="9"/>
    </row>
    <row r="188">
      <c r="A188" s="20" t="s">
        <v>392</v>
      </c>
      <c r="B188" s="20" t="s">
        <v>393</v>
      </c>
      <c r="C188" s="21">
        <v>45255.0</v>
      </c>
      <c r="D188" s="21">
        <v>45267.0</v>
      </c>
      <c r="E188" s="9" t="s">
        <v>14</v>
      </c>
      <c r="F188" s="8">
        <v>4.0</v>
      </c>
      <c r="G188" s="8">
        <v>59.0</v>
      </c>
      <c r="H188" s="9">
        <v>0.0</v>
      </c>
      <c r="I188" s="8">
        <v>26.0</v>
      </c>
      <c r="J188" s="9" t="s">
        <v>19</v>
      </c>
      <c r="K188" s="9" t="s">
        <v>26</v>
      </c>
      <c r="L188" s="9">
        <v>1.0</v>
      </c>
      <c r="M188" s="22" t="str">
        <f t="shared" si="2"/>
        <v>OK</v>
      </c>
      <c r="N188" s="19">
        <f t="shared" si="3"/>
        <v>4</v>
      </c>
      <c r="R188" s="14"/>
      <c r="S188" s="8"/>
      <c r="U188" s="14"/>
      <c r="V188" s="9"/>
    </row>
    <row r="189">
      <c r="A189" s="20" t="s">
        <v>394</v>
      </c>
      <c r="B189" s="20" t="s">
        <v>395</v>
      </c>
      <c r="C189" s="21">
        <v>44965.0</v>
      </c>
      <c r="D189" s="21">
        <v>44977.0</v>
      </c>
      <c r="E189" s="9" t="s">
        <v>22</v>
      </c>
      <c r="F189" s="8">
        <v>4.1</v>
      </c>
      <c r="G189" s="8">
        <v>86.0</v>
      </c>
      <c r="H189" s="9">
        <v>0.0</v>
      </c>
      <c r="I189" s="8">
        <v>52.0</v>
      </c>
      <c r="J189" s="9" t="s">
        <v>15</v>
      </c>
      <c r="K189" s="9" t="s">
        <v>16</v>
      </c>
      <c r="L189" s="9">
        <v>1.0</v>
      </c>
      <c r="M189" s="22" t="str">
        <f t="shared" si="2"/>
        <v>OK</v>
      </c>
      <c r="N189" s="19">
        <f t="shared" si="3"/>
        <v>4.1</v>
      </c>
      <c r="R189" s="14"/>
      <c r="S189" s="8"/>
      <c r="U189" s="14"/>
      <c r="V189" s="9"/>
    </row>
    <row r="190">
      <c r="A190" s="20" t="s">
        <v>396</v>
      </c>
      <c r="B190" s="20" t="s">
        <v>397</v>
      </c>
      <c r="C190" s="21">
        <v>45158.0</v>
      </c>
      <c r="D190" s="21">
        <v>45170.0</v>
      </c>
      <c r="E190" s="9" t="s">
        <v>29</v>
      </c>
      <c r="F190" s="8">
        <v>0.7</v>
      </c>
      <c r="G190" s="8">
        <v>7.0</v>
      </c>
      <c r="H190" s="9">
        <v>1.0</v>
      </c>
      <c r="I190" s="8">
        <v>49.0</v>
      </c>
      <c r="J190" s="9" t="s">
        <v>35</v>
      </c>
      <c r="K190" s="9" t="s">
        <v>47</v>
      </c>
      <c r="L190" s="9">
        <v>1.0</v>
      </c>
      <c r="M190" s="22" t="str">
        <f t="shared" si="2"/>
        <v>OK</v>
      </c>
      <c r="N190" s="19">
        <f t="shared" si="3"/>
        <v>0.7</v>
      </c>
      <c r="R190" s="14"/>
      <c r="S190" s="8"/>
      <c r="U190" s="14"/>
      <c r="V190" s="9"/>
    </row>
    <row r="191">
      <c r="A191" s="20" t="s">
        <v>398</v>
      </c>
      <c r="B191" s="20" t="s">
        <v>399</v>
      </c>
      <c r="C191" s="21">
        <v>45233.0</v>
      </c>
      <c r="D191" s="21">
        <v>45245.0</v>
      </c>
      <c r="E191" s="9" t="s">
        <v>38</v>
      </c>
      <c r="F191" s="8">
        <v>2.6</v>
      </c>
      <c r="G191" s="8">
        <v>40.0</v>
      </c>
      <c r="H191" s="9">
        <v>1.0</v>
      </c>
      <c r="I191" s="8">
        <v>23.0</v>
      </c>
      <c r="J191" s="9" t="s">
        <v>19</v>
      </c>
      <c r="K191" s="9" t="s">
        <v>26</v>
      </c>
      <c r="L191" s="9">
        <v>1.0</v>
      </c>
      <c r="M191" s="22" t="str">
        <f t="shared" si="2"/>
        <v>OK</v>
      </c>
      <c r="N191" s="19">
        <f t="shared" si="3"/>
        <v>2.6</v>
      </c>
      <c r="R191" s="14"/>
      <c r="S191" s="8"/>
      <c r="U191" s="14"/>
      <c r="V191" s="9"/>
    </row>
    <row r="192">
      <c r="A192" s="20" t="s">
        <v>400</v>
      </c>
      <c r="B192" s="20" t="s">
        <v>401</v>
      </c>
      <c r="C192" s="21">
        <v>45070.0</v>
      </c>
      <c r="D192" s="21">
        <v>45082.0</v>
      </c>
      <c r="E192" s="9" t="s">
        <v>14</v>
      </c>
      <c r="F192" s="8">
        <v>2.1</v>
      </c>
      <c r="G192" s="8">
        <v>24.0</v>
      </c>
      <c r="H192" s="9">
        <v>1.0</v>
      </c>
      <c r="I192" s="8">
        <v>50.0</v>
      </c>
      <c r="J192" s="9" t="s">
        <v>35</v>
      </c>
      <c r="K192" s="9" t="s">
        <v>26</v>
      </c>
      <c r="L192" s="9">
        <v>0.0</v>
      </c>
      <c r="M192" s="22" t="str">
        <f t="shared" si="2"/>
        <v>OK</v>
      </c>
      <c r="N192" s="19">
        <f t="shared" si="3"/>
        <v>2.1</v>
      </c>
      <c r="R192" s="14"/>
      <c r="S192" s="8"/>
      <c r="U192" s="14"/>
      <c r="V192" s="9"/>
    </row>
    <row r="193">
      <c r="A193" s="20" t="s">
        <v>402</v>
      </c>
      <c r="B193" s="20" t="s">
        <v>403</v>
      </c>
      <c r="C193" s="21">
        <v>45130.0</v>
      </c>
      <c r="D193" s="21">
        <v>45142.0</v>
      </c>
      <c r="E193" s="9" t="s">
        <v>38</v>
      </c>
      <c r="F193" s="8">
        <v>1.9</v>
      </c>
      <c r="G193" s="8">
        <v>26.0</v>
      </c>
      <c r="H193" s="9">
        <v>1.0</v>
      </c>
      <c r="I193" s="8">
        <v>56.0</v>
      </c>
      <c r="J193" s="9" t="s">
        <v>32</v>
      </c>
      <c r="K193" s="9" t="s">
        <v>26</v>
      </c>
      <c r="L193" s="9">
        <v>0.0</v>
      </c>
      <c r="M193" s="22" t="str">
        <f t="shared" si="2"/>
        <v>OK</v>
      </c>
      <c r="N193" s="19">
        <f t="shared" si="3"/>
        <v>1.9</v>
      </c>
      <c r="R193" s="14"/>
      <c r="S193" s="8"/>
      <c r="U193" s="14"/>
      <c r="V193" s="9"/>
    </row>
    <row r="194">
      <c r="A194" s="20" t="s">
        <v>404</v>
      </c>
      <c r="B194" s="20" t="s">
        <v>405</v>
      </c>
      <c r="C194" s="21">
        <v>45209.0</v>
      </c>
      <c r="D194" s="21">
        <v>45221.0</v>
      </c>
      <c r="E194" s="9" t="s">
        <v>38</v>
      </c>
      <c r="F194" s="8">
        <v>0.2</v>
      </c>
      <c r="G194" s="8">
        <v>83.0</v>
      </c>
      <c r="H194" s="9">
        <v>1.0</v>
      </c>
      <c r="I194" s="8">
        <v>33.0</v>
      </c>
      <c r="J194" s="9" t="s">
        <v>19</v>
      </c>
      <c r="K194" s="9" t="s">
        <v>26</v>
      </c>
      <c r="L194" s="9">
        <v>1.0</v>
      </c>
      <c r="M194" s="22" t="str">
        <f t="shared" si="2"/>
        <v>OK</v>
      </c>
      <c r="N194" s="19">
        <f t="shared" si="3"/>
        <v>0.2</v>
      </c>
      <c r="R194" s="14"/>
      <c r="S194" s="8"/>
      <c r="U194" s="14"/>
      <c r="V194" s="9"/>
    </row>
    <row r="195">
      <c r="A195" s="20" t="s">
        <v>406</v>
      </c>
      <c r="B195" s="20" t="s">
        <v>407</v>
      </c>
      <c r="C195" s="21">
        <v>45002.0</v>
      </c>
      <c r="D195" s="21">
        <v>45014.0</v>
      </c>
      <c r="E195" s="9" t="s">
        <v>38</v>
      </c>
      <c r="F195" s="8">
        <v>3.5</v>
      </c>
      <c r="G195" s="8">
        <v>81.0</v>
      </c>
      <c r="H195" s="9">
        <v>1.0</v>
      </c>
      <c r="I195" s="8">
        <v>53.0</v>
      </c>
      <c r="J195" s="9" t="s">
        <v>35</v>
      </c>
      <c r="K195" s="9" t="s">
        <v>16</v>
      </c>
      <c r="L195" s="9">
        <v>1.0</v>
      </c>
      <c r="M195" s="22" t="str">
        <f t="shared" si="2"/>
        <v>OK</v>
      </c>
      <c r="N195" s="19">
        <f t="shared" si="3"/>
        <v>3.5</v>
      </c>
      <c r="R195" s="14"/>
      <c r="S195" s="8"/>
      <c r="U195" s="14"/>
      <c r="V195" s="9"/>
    </row>
    <row r="196">
      <c r="A196" s="20" t="s">
        <v>408</v>
      </c>
      <c r="B196" s="20" t="s">
        <v>409</v>
      </c>
      <c r="C196" s="21">
        <v>45209.0</v>
      </c>
      <c r="D196" s="21">
        <v>45221.0</v>
      </c>
      <c r="E196" s="9" t="s">
        <v>38</v>
      </c>
      <c r="F196" s="8">
        <v>3.7</v>
      </c>
      <c r="G196" s="8">
        <v>75.0</v>
      </c>
      <c r="H196" s="9">
        <v>0.0</v>
      </c>
      <c r="I196" s="8">
        <v>31.0</v>
      </c>
      <c r="J196" s="9" t="s">
        <v>35</v>
      </c>
      <c r="K196" s="9" t="s">
        <v>26</v>
      </c>
      <c r="L196" s="9">
        <v>1.0</v>
      </c>
      <c r="M196" s="22" t="str">
        <f t="shared" si="2"/>
        <v>OK</v>
      </c>
      <c r="N196" s="19">
        <f t="shared" si="3"/>
        <v>3.7</v>
      </c>
      <c r="R196" s="14"/>
      <c r="S196" s="8"/>
      <c r="U196" s="14"/>
      <c r="V196" s="9"/>
    </row>
    <row r="197">
      <c r="A197" s="20" t="s">
        <v>410</v>
      </c>
      <c r="B197" s="20" t="s">
        <v>411</v>
      </c>
      <c r="C197" s="21">
        <v>45211.0</v>
      </c>
      <c r="D197" s="21">
        <v>45223.0</v>
      </c>
      <c r="E197" s="9" t="s">
        <v>29</v>
      </c>
      <c r="F197" s="8">
        <v>2.3</v>
      </c>
      <c r="G197" s="8">
        <v>60.0</v>
      </c>
      <c r="H197" s="9">
        <v>0.0</v>
      </c>
      <c r="I197" s="8">
        <v>32.0</v>
      </c>
      <c r="J197" s="9" t="s">
        <v>32</v>
      </c>
      <c r="K197" s="9" t="s">
        <v>16</v>
      </c>
      <c r="L197" s="9">
        <v>0.0</v>
      </c>
      <c r="M197" s="22" t="str">
        <f t="shared" si="2"/>
        <v>OK</v>
      </c>
      <c r="N197" s="19">
        <f t="shared" si="3"/>
        <v>2.3</v>
      </c>
      <c r="R197" s="14"/>
      <c r="S197" s="8"/>
      <c r="U197" s="14"/>
      <c r="V197" s="9"/>
    </row>
    <row r="198">
      <c r="A198" s="20" t="s">
        <v>412</v>
      </c>
      <c r="B198" s="20" t="s">
        <v>413</v>
      </c>
      <c r="C198" s="21">
        <v>45252.0</v>
      </c>
      <c r="D198" s="21">
        <v>45264.0</v>
      </c>
      <c r="E198" s="9" t="s">
        <v>29</v>
      </c>
      <c r="F198" s="8">
        <v>1.5</v>
      </c>
      <c r="G198" s="8">
        <v>34.0</v>
      </c>
      <c r="H198" s="9">
        <v>0.0</v>
      </c>
      <c r="I198" s="8">
        <v>20.0</v>
      </c>
      <c r="J198" s="9" t="s">
        <v>35</v>
      </c>
      <c r="K198" s="9" t="s">
        <v>26</v>
      </c>
      <c r="L198" s="9">
        <v>1.0</v>
      </c>
      <c r="M198" s="22" t="str">
        <f t="shared" si="2"/>
        <v>OK</v>
      </c>
      <c r="N198" s="19">
        <f t="shared" si="3"/>
        <v>1.5</v>
      </c>
      <c r="R198" s="14"/>
      <c r="S198" s="8"/>
      <c r="U198" s="14"/>
      <c r="V198" s="9"/>
    </row>
    <row r="199">
      <c r="A199" s="20" t="s">
        <v>414</v>
      </c>
      <c r="B199" s="20" t="s">
        <v>415</v>
      </c>
      <c r="C199" s="21">
        <v>44984.0</v>
      </c>
      <c r="D199" s="21">
        <v>44996.0</v>
      </c>
      <c r="E199" s="9" t="s">
        <v>22</v>
      </c>
      <c r="F199" s="8">
        <v>1.2</v>
      </c>
      <c r="G199" s="8">
        <v>96.0</v>
      </c>
      <c r="H199" s="9">
        <v>1.0</v>
      </c>
      <c r="I199" s="8">
        <v>28.0</v>
      </c>
      <c r="J199" s="9" t="s">
        <v>23</v>
      </c>
      <c r="K199" s="9" t="s">
        <v>26</v>
      </c>
      <c r="L199" s="9">
        <v>1.0</v>
      </c>
      <c r="M199" s="22" t="str">
        <f t="shared" si="2"/>
        <v>OK</v>
      </c>
      <c r="N199" s="19">
        <f t="shared" si="3"/>
        <v>1.2</v>
      </c>
      <c r="R199" s="14"/>
      <c r="S199" s="8"/>
      <c r="U199" s="14"/>
      <c r="V199" s="9"/>
    </row>
    <row r="200">
      <c r="A200" s="20" t="s">
        <v>416</v>
      </c>
      <c r="B200" s="20" t="s">
        <v>417</v>
      </c>
      <c r="C200" s="21">
        <v>44940.0</v>
      </c>
      <c r="D200" s="21">
        <v>44952.0</v>
      </c>
      <c r="E200" s="9" t="s">
        <v>22</v>
      </c>
      <c r="F200" s="8">
        <v>2.2</v>
      </c>
      <c r="G200" s="8">
        <v>57.0</v>
      </c>
      <c r="H200" s="9">
        <v>1.0</v>
      </c>
      <c r="I200" s="8">
        <v>22.0</v>
      </c>
      <c r="J200" s="9" t="s">
        <v>35</v>
      </c>
      <c r="K200" s="9" t="s">
        <v>16</v>
      </c>
      <c r="L200" s="9">
        <v>0.0</v>
      </c>
      <c r="M200" s="22" t="str">
        <f t="shared" si="2"/>
        <v>OK</v>
      </c>
      <c r="N200" s="19">
        <f t="shared" si="3"/>
        <v>2.2</v>
      </c>
      <c r="R200" s="14"/>
      <c r="S200" s="8"/>
      <c r="U200" s="14"/>
      <c r="V200" s="9"/>
    </row>
    <row r="201">
      <c r="A201" s="20" t="s">
        <v>418</v>
      </c>
      <c r="B201" s="20" t="s">
        <v>419</v>
      </c>
      <c r="C201" s="21">
        <v>45205.0</v>
      </c>
      <c r="D201" s="21">
        <v>45217.0</v>
      </c>
      <c r="E201" s="9" t="s">
        <v>29</v>
      </c>
      <c r="F201" s="8">
        <v>3.2</v>
      </c>
      <c r="G201" s="8">
        <v>90.0</v>
      </c>
      <c r="H201" s="9">
        <v>1.0</v>
      </c>
      <c r="I201" s="8">
        <v>12.0</v>
      </c>
      <c r="J201" s="9" t="s">
        <v>35</v>
      </c>
      <c r="K201" s="9" t="s">
        <v>26</v>
      </c>
      <c r="L201" s="9">
        <v>1.0</v>
      </c>
      <c r="M201" s="22" t="str">
        <f t="shared" si="2"/>
        <v>OK</v>
      </c>
      <c r="N201" s="19">
        <f t="shared" si="3"/>
        <v>3.2</v>
      </c>
      <c r="R201" s="14"/>
      <c r="S201" s="8"/>
      <c r="U201" s="14"/>
      <c r="V201" s="9"/>
    </row>
    <row r="202">
      <c r="A202" s="20" t="s">
        <v>420</v>
      </c>
      <c r="B202" s="20" t="s">
        <v>421</v>
      </c>
      <c r="C202" s="21">
        <v>45178.0</v>
      </c>
      <c r="D202" s="21">
        <v>45190.0</v>
      </c>
      <c r="E202" s="9" t="s">
        <v>38</v>
      </c>
      <c r="F202" s="8">
        <v>0.4</v>
      </c>
      <c r="G202" s="8">
        <v>65.0</v>
      </c>
      <c r="H202" s="9">
        <v>0.0</v>
      </c>
      <c r="I202" s="8">
        <v>51.0</v>
      </c>
      <c r="J202" s="9" t="s">
        <v>23</v>
      </c>
      <c r="K202" s="9" t="s">
        <v>26</v>
      </c>
      <c r="L202" s="9">
        <v>0.0</v>
      </c>
      <c r="M202" s="22" t="str">
        <f t="shared" si="2"/>
        <v>OK</v>
      </c>
      <c r="N202" s="19">
        <f t="shared" si="3"/>
        <v>0.4</v>
      </c>
      <c r="R202" s="14"/>
      <c r="S202" s="8"/>
      <c r="U202" s="14"/>
      <c r="V202" s="9"/>
    </row>
    <row r="203">
      <c r="A203" s="20" t="s">
        <v>422</v>
      </c>
      <c r="B203" s="20" t="s">
        <v>423</v>
      </c>
      <c r="C203" s="21">
        <v>45178.0</v>
      </c>
      <c r="D203" s="21">
        <v>45190.0</v>
      </c>
      <c r="E203" s="9" t="s">
        <v>29</v>
      </c>
      <c r="F203" s="8">
        <v>0.6</v>
      </c>
      <c r="G203" s="8">
        <v>79.0</v>
      </c>
      <c r="H203" s="9">
        <v>0.0</v>
      </c>
      <c r="I203" s="8">
        <v>41.0</v>
      </c>
      <c r="J203" s="9" t="s">
        <v>35</v>
      </c>
      <c r="K203" s="9" t="s">
        <v>16</v>
      </c>
      <c r="L203" s="9">
        <v>1.0</v>
      </c>
      <c r="M203" s="22" t="str">
        <f t="shared" si="2"/>
        <v>OK</v>
      </c>
      <c r="N203" s="19">
        <f t="shared" si="3"/>
        <v>0.6</v>
      </c>
      <c r="R203" s="14"/>
      <c r="S203" s="8"/>
      <c r="U203" s="14"/>
      <c r="V203" s="9"/>
    </row>
    <row r="204">
      <c r="A204" s="20" t="s">
        <v>424</v>
      </c>
      <c r="B204" s="20" t="s">
        <v>425</v>
      </c>
      <c r="C204" s="21">
        <v>45244.0</v>
      </c>
      <c r="D204" s="21">
        <v>45256.0</v>
      </c>
      <c r="E204" s="9" t="s">
        <v>22</v>
      </c>
      <c r="F204" s="8">
        <v>2.5</v>
      </c>
      <c r="G204" s="8">
        <v>0.0</v>
      </c>
      <c r="H204" s="9">
        <v>0.0</v>
      </c>
      <c r="I204" s="8">
        <v>44.0</v>
      </c>
      <c r="J204" s="9" t="s">
        <v>32</v>
      </c>
      <c r="K204" s="9" t="s">
        <v>47</v>
      </c>
      <c r="L204" s="9">
        <v>1.0</v>
      </c>
      <c r="M204" s="22" t="str">
        <f t="shared" si="2"/>
        <v>OK</v>
      </c>
      <c r="N204" s="19">
        <f t="shared" si="3"/>
        <v>2.5</v>
      </c>
      <c r="R204" s="14"/>
      <c r="S204" s="8"/>
      <c r="U204" s="14"/>
      <c r="V204" s="9"/>
    </row>
    <row r="205">
      <c r="A205" s="20" t="s">
        <v>426</v>
      </c>
      <c r="B205" s="20" t="s">
        <v>427</v>
      </c>
      <c r="C205" s="21">
        <v>45017.0</v>
      </c>
      <c r="D205" s="21">
        <v>45029.0</v>
      </c>
      <c r="E205" s="9" t="s">
        <v>14</v>
      </c>
      <c r="F205" s="8">
        <v>3.1</v>
      </c>
      <c r="G205" s="8">
        <v>52.0</v>
      </c>
      <c r="H205" s="9">
        <v>0.0</v>
      </c>
      <c r="I205" s="8">
        <v>46.0</v>
      </c>
      <c r="J205" s="9" t="s">
        <v>32</v>
      </c>
      <c r="K205" s="9" t="s">
        <v>16</v>
      </c>
      <c r="L205" s="9">
        <v>0.0</v>
      </c>
      <c r="M205" s="22" t="str">
        <f t="shared" si="2"/>
        <v>OK</v>
      </c>
      <c r="N205" s="19">
        <f t="shared" si="3"/>
        <v>3.1</v>
      </c>
      <c r="R205" s="14"/>
      <c r="S205" s="8"/>
      <c r="U205" s="14"/>
      <c r="V205" s="9"/>
    </row>
    <row r="206">
      <c r="A206" s="20" t="s">
        <v>428</v>
      </c>
      <c r="B206" s="20" t="s">
        <v>429</v>
      </c>
      <c r="C206" s="21">
        <v>44989.0</v>
      </c>
      <c r="D206" s="21">
        <v>45001.0</v>
      </c>
      <c r="E206" s="9" t="s">
        <v>22</v>
      </c>
      <c r="F206" s="8">
        <v>3.3</v>
      </c>
      <c r="G206" s="8">
        <v>49.0</v>
      </c>
      <c r="H206" s="9">
        <v>1.0</v>
      </c>
      <c r="I206" s="8">
        <v>38.0</v>
      </c>
      <c r="J206" s="9" t="s">
        <v>32</v>
      </c>
      <c r="K206" s="9" t="s">
        <v>47</v>
      </c>
      <c r="L206" s="9">
        <v>1.0</v>
      </c>
      <c r="M206" s="22" t="str">
        <f t="shared" si="2"/>
        <v>OK</v>
      </c>
      <c r="N206" s="19">
        <f t="shared" si="3"/>
        <v>3.3</v>
      </c>
      <c r="R206" s="14"/>
      <c r="S206" s="8"/>
      <c r="U206" s="14"/>
      <c r="V206" s="9"/>
    </row>
    <row r="207">
      <c r="A207" s="20" t="s">
        <v>430</v>
      </c>
      <c r="B207" s="20" t="s">
        <v>431</v>
      </c>
      <c r="C207" s="21">
        <v>45060.0</v>
      </c>
      <c r="D207" s="21">
        <v>45072.0</v>
      </c>
      <c r="E207" s="9" t="s">
        <v>38</v>
      </c>
      <c r="F207" s="8">
        <v>3.0</v>
      </c>
      <c r="G207" s="8">
        <v>55.0</v>
      </c>
      <c r="H207" s="9">
        <v>0.0</v>
      </c>
      <c r="I207" s="8">
        <v>18.0</v>
      </c>
      <c r="J207" s="9" t="s">
        <v>35</v>
      </c>
      <c r="K207" s="9" t="s">
        <v>16</v>
      </c>
      <c r="L207" s="9">
        <v>0.0</v>
      </c>
      <c r="M207" s="22" t="str">
        <f t="shared" si="2"/>
        <v>OK</v>
      </c>
      <c r="N207" s="19">
        <f t="shared" si="3"/>
        <v>3</v>
      </c>
      <c r="R207" s="14"/>
      <c r="S207" s="8"/>
      <c r="U207" s="14"/>
      <c r="V207" s="9"/>
    </row>
    <row r="208">
      <c r="A208" s="20" t="s">
        <v>432</v>
      </c>
      <c r="B208" s="20" t="s">
        <v>433</v>
      </c>
      <c r="C208" s="21">
        <v>45265.0</v>
      </c>
      <c r="D208" s="21">
        <v>45277.0</v>
      </c>
      <c r="E208" s="9" t="s">
        <v>14</v>
      </c>
      <c r="F208" s="8">
        <v>3.6</v>
      </c>
      <c r="G208" s="8">
        <v>66.0</v>
      </c>
      <c r="H208" s="9">
        <v>1.0</v>
      </c>
      <c r="I208" s="8">
        <v>43.0</v>
      </c>
      <c r="J208" s="9" t="s">
        <v>15</v>
      </c>
      <c r="K208" s="9" t="s">
        <v>16</v>
      </c>
      <c r="L208" s="9">
        <v>1.0</v>
      </c>
      <c r="M208" s="22" t="str">
        <f t="shared" si="2"/>
        <v>OK</v>
      </c>
      <c r="N208" s="19">
        <f t="shared" si="3"/>
        <v>3.6</v>
      </c>
      <c r="R208" s="14"/>
      <c r="S208" s="8"/>
      <c r="U208" s="14"/>
      <c r="V208" s="9"/>
    </row>
    <row r="209">
      <c r="A209" s="20" t="s">
        <v>434</v>
      </c>
      <c r="B209" s="20" t="s">
        <v>435</v>
      </c>
      <c r="C209" s="21">
        <v>45227.0</v>
      </c>
      <c r="D209" s="21">
        <v>45239.0</v>
      </c>
      <c r="E209" s="9" t="s">
        <v>22</v>
      </c>
      <c r="F209" s="8">
        <v>4.9</v>
      </c>
      <c r="G209" s="8">
        <v>21.0</v>
      </c>
      <c r="H209" s="9">
        <v>1.0</v>
      </c>
      <c r="I209" s="8">
        <v>19.0</v>
      </c>
      <c r="J209" s="9" t="s">
        <v>32</v>
      </c>
      <c r="K209" s="9" t="s">
        <v>47</v>
      </c>
      <c r="L209" s="9">
        <v>0.0</v>
      </c>
      <c r="M209" s="22" t="str">
        <f t="shared" si="2"/>
        <v>OK</v>
      </c>
      <c r="N209" s="19">
        <f t="shared" si="3"/>
        <v>4.9</v>
      </c>
      <c r="R209" s="14"/>
      <c r="S209" s="8"/>
      <c r="U209" s="14"/>
      <c r="V209" s="9"/>
    </row>
    <row r="210">
      <c r="A210" s="20" t="s">
        <v>436</v>
      </c>
      <c r="B210" s="20" t="s">
        <v>437</v>
      </c>
      <c r="C210" s="21">
        <v>45147.0</v>
      </c>
      <c r="D210" s="21">
        <v>45159.0</v>
      </c>
      <c r="E210" s="9" t="s">
        <v>29</v>
      </c>
      <c r="F210" s="8">
        <v>4.0</v>
      </c>
      <c r="G210" s="8">
        <v>62.0</v>
      </c>
      <c r="H210" s="9">
        <v>1.0</v>
      </c>
      <c r="I210" s="8">
        <v>16.0</v>
      </c>
      <c r="J210" s="9" t="s">
        <v>19</v>
      </c>
      <c r="K210" s="9" t="s">
        <v>26</v>
      </c>
      <c r="L210" s="9">
        <v>0.0</v>
      </c>
      <c r="M210" s="22" t="str">
        <f t="shared" si="2"/>
        <v>OK</v>
      </c>
      <c r="N210" s="19">
        <f t="shared" si="3"/>
        <v>4</v>
      </c>
      <c r="R210" s="14"/>
      <c r="S210" s="8"/>
      <c r="U210" s="14"/>
      <c r="V210" s="9"/>
    </row>
    <row r="211">
      <c r="A211" s="20" t="s">
        <v>438</v>
      </c>
      <c r="B211" s="20" t="s">
        <v>439</v>
      </c>
      <c r="C211" s="21">
        <v>44994.0</v>
      </c>
      <c r="D211" s="21">
        <v>45006.0</v>
      </c>
      <c r="E211" s="9" t="s">
        <v>14</v>
      </c>
      <c r="F211" s="8">
        <v>1.1</v>
      </c>
      <c r="G211" s="8">
        <v>24.0</v>
      </c>
      <c r="H211" s="9">
        <v>1.0</v>
      </c>
      <c r="I211" s="8">
        <v>13.0</v>
      </c>
      <c r="J211" s="9" t="s">
        <v>32</v>
      </c>
      <c r="K211" s="9" t="s">
        <v>26</v>
      </c>
      <c r="L211" s="9">
        <v>0.0</v>
      </c>
      <c r="M211" s="22" t="str">
        <f t="shared" si="2"/>
        <v>OK</v>
      </c>
      <c r="N211" s="19">
        <f t="shared" si="3"/>
        <v>1.1</v>
      </c>
      <c r="R211" s="14"/>
      <c r="S211" s="8"/>
      <c r="U211" s="14"/>
      <c r="V211" s="9"/>
    </row>
    <row r="212">
      <c r="A212" s="20" t="s">
        <v>440</v>
      </c>
      <c r="B212" s="20" t="s">
        <v>441</v>
      </c>
      <c r="C212" s="21">
        <v>44950.0</v>
      </c>
      <c r="D212" s="21">
        <v>44962.0</v>
      </c>
      <c r="E212" s="9" t="s">
        <v>22</v>
      </c>
      <c r="F212" s="8">
        <v>0.3</v>
      </c>
      <c r="G212" s="8">
        <v>54.0</v>
      </c>
      <c r="H212" s="9">
        <v>0.0</v>
      </c>
      <c r="I212" s="8">
        <v>47.0</v>
      </c>
      <c r="J212" s="9" t="s">
        <v>15</v>
      </c>
      <c r="K212" s="9" t="s">
        <v>47</v>
      </c>
      <c r="L212" s="9">
        <v>0.0</v>
      </c>
      <c r="M212" s="22" t="str">
        <f t="shared" si="2"/>
        <v>OK</v>
      </c>
      <c r="N212" s="19">
        <f t="shared" si="3"/>
        <v>0.3</v>
      </c>
      <c r="R212" s="14"/>
      <c r="S212" s="8"/>
      <c r="U212" s="14"/>
      <c r="V212" s="9"/>
    </row>
    <row r="213">
      <c r="A213" s="20" t="s">
        <v>442</v>
      </c>
      <c r="B213" s="20" t="s">
        <v>443</v>
      </c>
      <c r="C213" s="21">
        <v>44932.0</v>
      </c>
      <c r="D213" s="21">
        <v>44944.0</v>
      </c>
      <c r="E213" s="9" t="s">
        <v>14</v>
      </c>
      <c r="F213" s="8">
        <v>1.0</v>
      </c>
      <c r="G213" s="8">
        <v>1.0</v>
      </c>
      <c r="H213" s="9">
        <v>0.0</v>
      </c>
      <c r="I213" s="8">
        <v>55.0</v>
      </c>
      <c r="J213" s="9" t="s">
        <v>19</v>
      </c>
      <c r="K213" s="9" t="s">
        <v>26</v>
      </c>
      <c r="L213" s="9">
        <v>1.0</v>
      </c>
      <c r="M213" s="22" t="str">
        <f t="shared" si="2"/>
        <v>OK</v>
      </c>
      <c r="N213" s="19">
        <f t="shared" si="3"/>
        <v>1</v>
      </c>
      <c r="R213" s="14"/>
      <c r="S213" s="8"/>
      <c r="U213" s="14"/>
      <c r="V213" s="9"/>
    </row>
    <row r="214">
      <c r="A214" s="20" t="s">
        <v>444</v>
      </c>
      <c r="B214" s="20" t="s">
        <v>445</v>
      </c>
      <c r="C214" s="21">
        <v>45145.0</v>
      </c>
      <c r="D214" s="21">
        <v>45157.0</v>
      </c>
      <c r="E214" s="9" t="s">
        <v>14</v>
      </c>
      <c r="F214" s="8">
        <v>2.3</v>
      </c>
      <c r="G214" s="8">
        <v>26.0</v>
      </c>
      <c r="H214" s="9">
        <v>1.0</v>
      </c>
      <c r="I214" s="8">
        <v>34.0</v>
      </c>
      <c r="J214" s="9" t="s">
        <v>15</v>
      </c>
      <c r="K214" s="9" t="s">
        <v>16</v>
      </c>
      <c r="L214" s="9">
        <v>1.0</v>
      </c>
      <c r="M214" s="22" t="str">
        <f t="shared" si="2"/>
        <v>OK</v>
      </c>
      <c r="N214" s="19">
        <f t="shared" si="3"/>
        <v>2.3</v>
      </c>
      <c r="R214" s="14"/>
      <c r="S214" s="8"/>
      <c r="U214" s="14"/>
      <c r="V214" s="9"/>
    </row>
    <row r="215">
      <c r="A215" s="20" t="s">
        <v>446</v>
      </c>
      <c r="B215" s="20" t="s">
        <v>447</v>
      </c>
      <c r="C215" s="21">
        <v>44960.0</v>
      </c>
      <c r="D215" s="21">
        <v>44972.0</v>
      </c>
      <c r="E215" s="9" t="s">
        <v>22</v>
      </c>
      <c r="F215" s="8">
        <v>4.4</v>
      </c>
      <c r="G215" s="8">
        <v>53.0</v>
      </c>
      <c r="H215" s="9">
        <v>1.0</v>
      </c>
      <c r="I215" s="8">
        <v>30.0</v>
      </c>
      <c r="J215" s="9" t="s">
        <v>19</v>
      </c>
      <c r="K215" s="9" t="s">
        <v>16</v>
      </c>
      <c r="L215" s="9">
        <v>0.0</v>
      </c>
      <c r="M215" s="22" t="str">
        <f t="shared" si="2"/>
        <v>OK</v>
      </c>
      <c r="N215" s="19">
        <f t="shared" si="3"/>
        <v>4.4</v>
      </c>
      <c r="R215" s="14"/>
      <c r="S215" s="8"/>
      <c r="U215" s="14"/>
      <c r="V215" s="9"/>
    </row>
    <row r="216">
      <c r="A216" s="20" t="s">
        <v>448</v>
      </c>
      <c r="B216" s="20" t="s">
        <v>449</v>
      </c>
      <c r="C216" s="21">
        <v>45056.0</v>
      </c>
      <c r="D216" s="21">
        <v>45068.0</v>
      </c>
      <c r="E216" s="9" t="s">
        <v>22</v>
      </c>
      <c r="F216" s="8">
        <v>0.6</v>
      </c>
      <c r="G216" s="8">
        <v>86.0</v>
      </c>
      <c r="H216" s="9">
        <v>1.0</v>
      </c>
      <c r="I216" s="8">
        <v>35.0</v>
      </c>
      <c r="J216" s="9" t="s">
        <v>23</v>
      </c>
      <c r="K216" s="9" t="s">
        <v>16</v>
      </c>
      <c r="L216" s="9">
        <v>1.0</v>
      </c>
      <c r="M216" s="22" t="str">
        <f t="shared" si="2"/>
        <v>OK</v>
      </c>
      <c r="N216" s="19">
        <f t="shared" si="3"/>
        <v>0.6</v>
      </c>
      <c r="R216" s="14"/>
      <c r="S216" s="8"/>
      <c r="U216" s="14"/>
      <c r="V216" s="9"/>
    </row>
    <row r="217">
      <c r="A217" s="20" t="s">
        <v>450</v>
      </c>
      <c r="B217" s="20" t="s">
        <v>451</v>
      </c>
      <c r="C217" s="21">
        <v>44990.0</v>
      </c>
      <c r="D217" s="21">
        <v>45002.0</v>
      </c>
      <c r="E217" s="9" t="s">
        <v>29</v>
      </c>
      <c r="F217" s="8">
        <v>4.7</v>
      </c>
      <c r="G217" s="8">
        <v>91.0</v>
      </c>
      <c r="H217" s="9">
        <v>0.0</v>
      </c>
      <c r="I217" s="8">
        <v>48.0</v>
      </c>
      <c r="J217" s="9" t="s">
        <v>15</v>
      </c>
      <c r="K217" s="9" t="s">
        <v>16</v>
      </c>
      <c r="L217" s="9">
        <v>1.0</v>
      </c>
      <c r="M217" s="22" t="str">
        <f t="shared" si="2"/>
        <v>OK</v>
      </c>
      <c r="N217" s="19">
        <f t="shared" si="3"/>
        <v>4.7</v>
      </c>
      <c r="R217" s="14"/>
      <c r="S217" s="8"/>
      <c r="U217" s="14"/>
      <c r="V217" s="9"/>
    </row>
    <row r="218">
      <c r="A218" s="20" t="s">
        <v>452</v>
      </c>
      <c r="B218" s="20" t="s">
        <v>453</v>
      </c>
      <c r="C218" s="21">
        <v>45011.0</v>
      </c>
      <c r="D218" s="21">
        <v>45023.0</v>
      </c>
      <c r="E218" s="9" t="s">
        <v>38</v>
      </c>
      <c r="F218" s="8">
        <v>0.2</v>
      </c>
      <c r="G218" s="8">
        <v>36.0</v>
      </c>
      <c r="H218" s="9">
        <v>1.0</v>
      </c>
      <c r="I218" s="8">
        <v>42.0</v>
      </c>
      <c r="J218" s="9" t="s">
        <v>15</v>
      </c>
      <c r="K218" s="9" t="s">
        <v>16</v>
      </c>
      <c r="L218" s="9">
        <v>1.0</v>
      </c>
      <c r="M218" s="22" t="str">
        <f t="shared" si="2"/>
        <v>OK</v>
      </c>
      <c r="N218" s="19">
        <f t="shared" si="3"/>
        <v>0.2</v>
      </c>
      <c r="R218" s="14"/>
      <c r="S218" s="8"/>
      <c r="U218" s="14"/>
      <c r="V218" s="9"/>
    </row>
    <row r="219">
      <c r="A219" s="20" t="s">
        <v>454</v>
      </c>
      <c r="B219" s="20" t="s">
        <v>455</v>
      </c>
      <c r="C219" s="21">
        <v>45116.0</v>
      </c>
      <c r="D219" s="21">
        <v>45128.0</v>
      </c>
      <c r="E219" s="9" t="s">
        <v>22</v>
      </c>
      <c r="F219" s="8">
        <v>2.8</v>
      </c>
      <c r="G219" s="8">
        <v>30.0</v>
      </c>
      <c r="H219" s="9">
        <v>0.0</v>
      </c>
      <c r="I219" s="8">
        <v>15.0</v>
      </c>
      <c r="J219" s="9" t="s">
        <v>15</v>
      </c>
      <c r="K219" s="9" t="s">
        <v>47</v>
      </c>
      <c r="L219" s="9">
        <v>0.0</v>
      </c>
      <c r="M219" s="22" t="str">
        <f t="shared" si="2"/>
        <v>OK</v>
      </c>
      <c r="N219" s="19">
        <f t="shared" si="3"/>
        <v>2.8</v>
      </c>
      <c r="R219" s="14"/>
      <c r="S219" s="8"/>
      <c r="U219" s="14"/>
      <c r="V219" s="9"/>
    </row>
    <row r="220">
      <c r="A220" s="20" t="s">
        <v>456</v>
      </c>
      <c r="B220" s="20" t="s">
        <v>457</v>
      </c>
      <c r="C220" s="21">
        <v>45274.0</v>
      </c>
      <c r="D220" s="21">
        <v>45286.0</v>
      </c>
      <c r="E220" s="9" t="s">
        <v>38</v>
      </c>
      <c r="F220" s="8">
        <v>3.9</v>
      </c>
      <c r="G220" s="8">
        <v>63.0</v>
      </c>
      <c r="H220" s="9">
        <v>0.0</v>
      </c>
      <c r="I220" s="8">
        <v>40.0</v>
      </c>
      <c r="J220" s="9" t="s">
        <v>15</v>
      </c>
      <c r="K220" s="9" t="s">
        <v>47</v>
      </c>
      <c r="L220" s="9">
        <v>0.0</v>
      </c>
      <c r="M220" s="22" t="str">
        <f t="shared" si="2"/>
        <v>OK</v>
      </c>
      <c r="N220" s="19">
        <f t="shared" si="3"/>
        <v>3.9</v>
      </c>
      <c r="R220" s="14"/>
      <c r="S220" s="8"/>
      <c r="U220" s="14"/>
      <c r="V220" s="9"/>
    </row>
    <row r="221">
      <c r="A221" s="20" t="s">
        <v>458</v>
      </c>
      <c r="B221" s="20" t="s">
        <v>459</v>
      </c>
      <c r="C221" s="21">
        <v>45161.0</v>
      </c>
      <c r="D221" s="21">
        <v>45173.0</v>
      </c>
      <c r="E221" s="9" t="s">
        <v>38</v>
      </c>
      <c r="F221" s="8">
        <v>5.0</v>
      </c>
      <c r="G221" s="8">
        <v>89.0</v>
      </c>
      <c r="H221" s="9">
        <v>1.0</v>
      </c>
      <c r="I221" s="8">
        <v>37.0</v>
      </c>
      <c r="J221" s="9" t="s">
        <v>19</v>
      </c>
      <c r="K221" s="9" t="s">
        <v>16</v>
      </c>
      <c r="L221" s="9">
        <v>1.0</v>
      </c>
      <c r="M221" s="22" t="str">
        <f t="shared" si="2"/>
        <v>OK</v>
      </c>
      <c r="N221" s="19">
        <f t="shared" si="3"/>
        <v>5</v>
      </c>
      <c r="R221" s="14"/>
      <c r="S221" s="8"/>
      <c r="U221" s="14"/>
      <c r="V221" s="9"/>
    </row>
    <row r="222">
      <c r="A222" s="20" t="s">
        <v>460</v>
      </c>
      <c r="B222" s="20" t="s">
        <v>461</v>
      </c>
      <c r="C222" s="21">
        <v>45131.0</v>
      </c>
      <c r="D222" s="21">
        <v>45143.0</v>
      </c>
      <c r="E222" s="9" t="s">
        <v>29</v>
      </c>
      <c r="F222" s="8">
        <v>1.7</v>
      </c>
      <c r="G222" s="8">
        <v>14.0</v>
      </c>
      <c r="H222" s="9">
        <v>0.0</v>
      </c>
      <c r="I222" s="8">
        <v>29.0</v>
      </c>
      <c r="J222" s="9" t="s">
        <v>32</v>
      </c>
      <c r="K222" s="9" t="s">
        <v>47</v>
      </c>
      <c r="L222" s="9">
        <v>1.0</v>
      </c>
      <c r="M222" s="22" t="str">
        <f t="shared" si="2"/>
        <v>OK</v>
      </c>
      <c r="N222" s="19">
        <f t="shared" si="3"/>
        <v>1.7</v>
      </c>
      <c r="R222" s="14"/>
      <c r="S222" s="8"/>
      <c r="U222" s="14"/>
      <c r="V222" s="9"/>
    </row>
    <row r="223">
      <c r="A223" s="20" t="s">
        <v>462</v>
      </c>
      <c r="B223" s="20" t="s">
        <v>463</v>
      </c>
      <c r="C223" s="21">
        <v>45214.0</v>
      </c>
      <c r="D223" s="21">
        <v>45226.0</v>
      </c>
      <c r="E223" s="9" t="s">
        <v>29</v>
      </c>
      <c r="F223" s="8">
        <v>4.1</v>
      </c>
      <c r="G223" s="8">
        <v>29.0</v>
      </c>
      <c r="H223" s="9">
        <v>1.0</v>
      </c>
      <c r="I223" s="8">
        <v>14.0</v>
      </c>
      <c r="J223" s="9" t="s">
        <v>15</v>
      </c>
      <c r="K223" s="9" t="s">
        <v>26</v>
      </c>
      <c r="L223" s="9">
        <v>1.0</v>
      </c>
      <c r="M223" s="22" t="str">
        <f t="shared" si="2"/>
        <v>OK</v>
      </c>
      <c r="N223" s="19">
        <f t="shared" si="3"/>
        <v>4.1</v>
      </c>
      <c r="R223" s="14"/>
      <c r="S223" s="8"/>
      <c r="U223" s="14"/>
      <c r="V223" s="9"/>
    </row>
    <row r="224">
      <c r="A224" s="20" t="s">
        <v>464</v>
      </c>
      <c r="B224" s="20" t="s">
        <v>465</v>
      </c>
      <c r="C224" s="21">
        <v>45164.0</v>
      </c>
      <c r="D224" s="21">
        <v>45176.0</v>
      </c>
      <c r="E224" s="9" t="s">
        <v>14</v>
      </c>
      <c r="F224" s="8">
        <v>2.6</v>
      </c>
      <c r="G224" s="8">
        <v>34.0</v>
      </c>
      <c r="H224" s="9">
        <v>0.0</v>
      </c>
      <c r="I224" s="8">
        <v>39.0</v>
      </c>
      <c r="J224" s="9" t="s">
        <v>32</v>
      </c>
      <c r="K224" s="9" t="s">
        <v>26</v>
      </c>
      <c r="L224" s="9">
        <v>0.0</v>
      </c>
      <c r="M224" s="22" t="str">
        <f t="shared" si="2"/>
        <v>OK</v>
      </c>
      <c r="N224" s="19">
        <f t="shared" si="3"/>
        <v>2.6</v>
      </c>
      <c r="R224" s="14"/>
      <c r="S224" s="8"/>
      <c r="U224" s="14"/>
      <c r="V224" s="9"/>
    </row>
    <row r="225">
      <c r="A225" s="20" t="s">
        <v>466</v>
      </c>
      <c r="B225" s="20" t="s">
        <v>467</v>
      </c>
      <c r="C225" s="21">
        <v>45170.0</v>
      </c>
      <c r="D225" s="21">
        <v>45182.0</v>
      </c>
      <c r="E225" s="9" t="s">
        <v>22</v>
      </c>
      <c r="F225" s="8">
        <v>4.8</v>
      </c>
      <c r="G225" s="8">
        <v>60.0</v>
      </c>
      <c r="H225" s="9">
        <v>1.0</v>
      </c>
      <c r="I225" s="8">
        <v>24.0</v>
      </c>
      <c r="J225" s="9" t="s">
        <v>32</v>
      </c>
      <c r="K225" s="9" t="s">
        <v>26</v>
      </c>
      <c r="L225" s="9">
        <v>1.0</v>
      </c>
      <c r="M225" s="22" t="str">
        <f t="shared" si="2"/>
        <v>OK</v>
      </c>
      <c r="N225" s="19">
        <f t="shared" si="3"/>
        <v>4.8</v>
      </c>
      <c r="R225" s="14"/>
      <c r="S225" s="8"/>
      <c r="U225" s="14"/>
      <c r="V225" s="9"/>
    </row>
    <row r="226">
      <c r="A226" s="20" t="s">
        <v>468</v>
      </c>
      <c r="B226" s="20" t="s">
        <v>469</v>
      </c>
      <c r="C226" s="21">
        <v>45011.0</v>
      </c>
      <c r="D226" s="21">
        <v>45023.0</v>
      </c>
      <c r="E226" s="9" t="s">
        <v>38</v>
      </c>
      <c r="F226" s="8">
        <v>1.3</v>
      </c>
      <c r="G226" s="8">
        <v>100.0</v>
      </c>
      <c r="H226" s="9">
        <v>1.0</v>
      </c>
      <c r="I226" s="8">
        <v>17.0</v>
      </c>
      <c r="J226" s="9" t="s">
        <v>32</v>
      </c>
      <c r="K226" s="9" t="s">
        <v>26</v>
      </c>
      <c r="L226" s="9">
        <v>1.0</v>
      </c>
      <c r="M226" s="22" t="str">
        <f t="shared" si="2"/>
        <v>OK</v>
      </c>
      <c r="N226" s="19">
        <f t="shared" si="3"/>
        <v>1.3</v>
      </c>
      <c r="R226" s="14"/>
      <c r="S226" s="8"/>
      <c r="U226" s="14"/>
      <c r="V226" s="9"/>
    </row>
    <row r="227">
      <c r="A227" s="20" t="s">
        <v>470</v>
      </c>
      <c r="B227" s="20" t="s">
        <v>471</v>
      </c>
      <c r="C227" s="21">
        <v>45106.0</v>
      </c>
      <c r="D227" s="21">
        <v>45118.0</v>
      </c>
      <c r="E227" s="9" t="s">
        <v>14</v>
      </c>
      <c r="F227" s="8">
        <v>1.9</v>
      </c>
      <c r="G227" s="8">
        <v>84.0</v>
      </c>
      <c r="H227" s="9">
        <v>0.0</v>
      </c>
      <c r="I227" s="8">
        <v>25.0</v>
      </c>
      <c r="J227" s="9" t="s">
        <v>35</v>
      </c>
      <c r="K227" s="9" t="s">
        <v>26</v>
      </c>
      <c r="L227" s="9">
        <v>1.0</v>
      </c>
      <c r="M227" s="22" t="str">
        <f t="shared" si="2"/>
        <v>OK</v>
      </c>
      <c r="N227" s="19">
        <f t="shared" si="3"/>
        <v>1.9</v>
      </c>
      <c r="R227" s="14"/>
      <c r="S227" s="8"/>
      <c r="U227" s="14"/>
      <c r="V227" s="9"/>
    </row>
    <row r="228">
      <c r="A228" s="20" t="s">
        <v>472</v>
      </c>
      <c r="B228" s="20" t="s">
        <v>473</v>
      </c>
      <c r="C228" s="21">
        <v>45000.0</v>
      </c>
      <c r="D228" s="21">
        <v>45012.0</v>
      </c>
      <c r="E228" s="9" t="s">
        <v>38</v>
      </c>
      <c r="F228" s="8">
        <v>0.4</v>
      </c>
      <c r="G228" s="8">
        <v>3.0</v>
      </c>
      <c r="H228" s="9">
        <v>0.0</v>
      </c>
      <c r="I228" s="8">
        <v>27.0</v>
      </c>
      <c r="J228" s="9" t="s">
        <v>32</v>
      </c>
      <c r="K228" s="9" t="s">
        <v>26</v>
      </c>
      <c r="L228" s="9">
        <v>1.0</v>
      </c>
      <c r="M228" s="22" t="str">
        <f t="shared" si="2"/>
        <v>OK</v>
      </c>
      <c r="N228" s="19">
        <f t="shared" si="3"/>
        <v>0.4</v>
      </c>
      <c r="R228" s="14"/>
      <c r="S228" s="8"/>
      <c r="U228" s="14"/>
      <c r="V228" s="9"/>
    </row>
    <row r="229">
      <c r="A229" s="20" t="s">
        <v>474</v>
      </c>
      <c r="B229" s="20" t="s">
        <v>475</v>
      </c>
      <c r="C229" s="21">
        <v>45068.0</v>
      </c>
      <c r="D229" s="21">
        <v>45080.0</v>
      </c>
      <c r="E229" s="9" t="s">
        <v>22</v>
      </c>
      <c r="F229" s="8">
        <v>3.3</v>
      </c>
      <c r="G229" s="8">
        <v>58.0</v>
      </c>
      <c r="H229" s="9">
        <v>1.0</v>
      </c>
      <c r="I229" s="8">
        <v>14.0</v>
      </c>
      <c r="J229" s="9" t="s">
        <v>15</v>
      </c>
      <c r="K229" s="9" t="s">
        <v>47</v>
      </c>
      <c r="L229" s="9">
        <v>0.0</v>
      </c>
      <c r="M229" s="22" t="str">
        <f t="shared" si="2"/>
        <v>OK</v>
      </c>
      <c r="N229" s="19">
        <f t="shared" si="3"/>
        <v>3.3</v>
      </c>
      <c r="R229" s="14"/>
      <c r="S229" s="8"/>
      <c r="U229" s="14"/>
      <c r="V229" s="9"/>
    </row>
    <row r="230">
      <c r="A230" s="20" t="s">
        <v>476</v>
      </c>
      <c r="B230" s="20" t="s">
        <v>477</v>
      </c>
      <c r="C230" s="21">
        <v>45243.0</v>
      </c>
      <c r="D230" s="21">
        <v>45255.0</v>
      </c>
      <c r="E230" s="9" t="s">
        <v>14</v>
      </c>
      <c r="F230" s="8">
        <v>4.2</v>
      </c>
      <c r="G230" s="8">
        <v>41.0</v>
      </c>
      <c r="H230" s="9">
        <v>0.0</v>
      </c>
      <c r="I230" s="8">
        <v>17.0</v>
      </c>
      <c r="J230" s="9" t="s">
        <v>23</v>
      </c>
      <c r="K230" s="9" t="s">
        <v>26</v>
      </c>
      <c r="L230" s="9">
        <v>1.0</v>
      </c>
      <c r="M230" s="22" t="str">
        <f t="shared" si="2"/>
        <v>OK</v>
      </c>
      <c r="N230" s="19">
        <f t="shared" si="3"/>
        <v>4.2</v>
      </c>
      <c r="R230" s="14"/>
      <c r="S230" s="8"/>
      <c r="U230" s="14"/>
      <c r="V230" s="9"/>
    </row>
    <row r="231">
      <c r="A231" s="20" t="s">
        <v>478</v>
      </c>
      <c r="B231" s="20" t="s">
        <v>479</v>
      </c>
      <c r="C231" s="21">
        <v>45031.0</v>
      </c>
      <c r="D231" s="21">
        <v>45043.0</v>
      </c>
      <c r="E231" s="9" t="s">
        <v>29</v>
      </c>
      <c r="F231" s="8">
        <v>2.7</v>
      </c>
      <c r="G231" s="8">
        <v>27.0</v>
      </c>
      <c r="H231" s="9">
        <v>0.0</v>
      </c>
      <c r="I231" s="8">
        <v>41.0</v>
      </c>
      <c r="J231" s="9" t="s">
        <v>19</v>
      </c>
      <c r="K231" s="9" t="s">
        <v>16</v>
      </c>
      <c r="L231" s="9">
        <v>1.0</v>
      </c>
      <c r="M231" s="22" t="str">
        <f t="shared" si="2"/>
        <v>OK</v>
      </c>
      <c r="N231" s="19">
        <f t="shared" si="3"/>
        <v>2.7</v>
      </c>
      <c r="R231" s="14"/>
      <c r="S231" s="8"/>
      <c r="U231" s="14"/>
      <c r="V231" s="9"/>
    </row>
    <row r="232">
      <c r="A232" s="20" t="s">
        <v>480</v>
      </c>
      <c r="B232" s="20" t="s">
        <v>481</v>
      </c>
      <c r="C232" s="21">
        <v>45264.0</v>
      </c>
      <c r="D232" s="21">
        <v>45276.0</v>
      </c>
      <c r="E232" s="9" t="s">
        <v>29</v>
      </c>
      <c r="F232" s="8">
        <v>1.5</v>
      </c>
      <c r="G232" s="8">
        <v>28.0</v>
      </c>
      <c r="H232" s="9">
        <v>1.0</v>
      </c>
      <c r="I232" s="8">
        <v>28.0</v>
      </c>
      <c r="J232" s="9" t="s">
        <v>19</v>
      </c>
      <c r="K232" s="9" t="s">
        <v>26</v>
      </c>
      <c r="L232" s="9">
        <v>0.0</v>
      </c>
      <c r="M232" s="22" t="str">
        <f t="shared" si="2"/>
        <v>OK</v>
      </c>
      <c r="N232" s="19">
        <f t="shared" si="3"/>
        <v>1.5</v>
      </c>
      <c r="R232" s="14"/>
      <c r="S232" s="8"/>
      <c r="U232" s="14"/>
      <c r="V232" s="9"/>
    </row>
    <row r="233">
      <c r="A233" s="20" t="s">
        <v>482</v>
      </c>
      <c r="B233" s="20" t="s">
        <v>483</v>
      </c>
      <c r="C233" s="21">
        <v>45228.0</v>
      </c>
      <c r="D233" s="21">
        <v>45240.0</v>
      </c>
      <c r="E233" s="9" t="s">
        <v>38</v>
      </c>
      <c r="F233" s="8">
        <v>3.2</v>
      </c>
      <c r="G233" s="8">
        <v>99.0</v>
      </c>
      <c r="H233" s="9">
        <v>0.0</v>
      </c>
      <c r="I233" s="8">
        <v>45.0</v>
      </c>
      <c r="J233" s="9" t="s">
        <v>23</v>
      </c>
      <c r="K233" s="9" t="s">
        <v>47</v>
      </c>
      <c r="L233" s="9">
        <v>1.0</v>
      </c>
      <c r="M233" s="22" t="str">
        <f t="shared" si="2"/>
        <v>OK</v>
      </c>
      <c r="N233" s="19">
        <f t="shared" si="3"/>
        <v>3.2</v>
      </c>
      <c r="R233" s="14"/>
      <c r="S233" s="8"/>
      <c r="U233" s="14"/>
      <c r="V233" s="9"/>
    </row>
    <row r="234">
      <c r="A234" s="20" t="s">
        <v>484</v>
      </c>
      <c r="B234" s="20" t="s">
        <v>485</v>
      </c>
      <c r="C234" s="21">
        <v>45080.0</v>
      </c>
      <c r="D234" s="21">
        <v>45092.0</v>
      </c>
      <c r="E234" s="9" t="s">
        <v>29</v>
      </c>
      <c r="F234" s="8">
        <v>4.5</v>
      </c>
      <c r="G234" s="8">
        <v>57.0</v>
      </c>
      <c r="H234" s="9">
        <v>0.0</v>
      </c>
      <c r="I234" s="8">
        <v>19.0</v>
      </c>
      <c r="J234" s="9" t="s">
        <v>19</v>
      </c>
      <c r="K234" s="9" t="s">
        <v>16</v>
      </c>
      <c r="L234" s="9">
        <v>1.0</v>
      </c>
      <c r="M234" s="22" t="str">
        <f t="shared" si="2"/>
        <v>OK</v>
      </c>
      <c r="N234" s="19">
        <f t="shared" si="3"/>
        <v>4.5</v>
      </c>
      <c r="R234" s="14"/>
      <c r="S234" s="8"/>
      <c r="U234" s="14"/>
      <c r="V234" s="9"/>
    </row>
    <row r="235">
      <c r="A235" s="20" t="s">
        <v>486</v>
      </c>
      <c r="B235" s="20" t="s">
        <v>487</v>
      </c>
      <c r="C235" s="21">
        <v>45173.0</v>
      </c>
      <c r="D235" s="21">
        <v>45185.0</v>
      </c>
      <c r="E235" s="9" t="s">
        <v>22</v>
      </c>
      <c r="F235" s="8">
        <v>0.8</v>
      </c>
      <c r="G235" s="8">
        <v>38.0</v>
      </c>
      <c r="H235" s="9">
        <v>0.0</v>
      </c>
      <c r="I235" s="8">
        <v>37.0</v>
      </c>
      <c r="J235" s="9" t="s">
        <v>35</v>
      </c>
      <c r="K235" s="9" t="s">
        <v>47</v>
      </c>
      <c r="L235" s="9">
        <v>1.0</v>
      </c>
      <c r="M235" s="22" t="str">
        <f t="shared" si="2"/>
        <v>OK</v>
      </c>
      <c r="N235" s="19">
        <f t="shared" si="3"/>
        <v>0.8</v>
      </c>
      <c r="R235" s="14"/>
      <c r="S235" s="8"/>
      <c r="U235" s="14"/>
      <c r="V235" s="9"/>
    </row>
    <row r="236">
      <c r="A236" s="20" t="s">
        <v>488</v>
      </c>
      <c r="B236" s="20" t="s">
        <v>489</v>
      </c>
      <c r="C236" s="21">
        <v>45133.0</v>
      </c>
      <c r="D236" s="21">
        <v>45145.0</v>
      </c>
      <c r="E236" s="9" t="s">
        <v>38</v>
      </c>
      <c r="F236" s="8">
        <v>2.4</v>
      </c>
      <c r="G236" s="8">
        <v>4.0</v>
      </c>
      <c r="H236" s="9">
        <v>1.0</v>
      </c>
      <c r="I236" s="8">
        <v>50.0</v>
      </c>
      <c r="J236" s="9" t="s">
        <v>23</v>
      </c>
      <c r="K236" s="9" t="s">
        <v>16</v>
      </c>
      <c r="L236" s="9">
        <v>1.0</v>
      </c>
      <c r="M236" s="22" t="str">
        <f t="shared" si="2"/>
        <v>OK</v>
      </c>
      <c r="N236" s="19">
        <f t="shared" si="3"/>
        <v>2.4</v>
      </c>
      <c r="R236" s="14"/>
      <c r="S236" s="8"/>
      <c r="U236" s="14"/>
      <c r="V236" s="9"/>
    </row>
    <row r="237">
      <c r="A237" s="20" t="s">
        <v>490</v>
      </c>
      <c r="B237" s="20" t="s">
        <v>491</v>
      </c>
      <c r="C237" s="21">
        <v>45171.0</v>
      </c>
      <c r="D237" s="21">
        <v>45183.0</v>
      </c>
      <c r="E237" s="9" t="s">
        <v>29</v>
      </c>
      <c r="F237" s="8">
        <v>2.0</v>
      </c>
      <c r="G237" s="8">
        <v>48.0</v>
      </c>
      <c r="H237" s="9">
        <v>0.0</v>
      </c>
      <c r="I237" s="8">
        <v>55.0</v>
      </c>
      <c r="J237" s="9" t="s">
        <v>32</v>
      </c>
      <c r="K237" s="9" t="s">
        <v>47</v>
      </c>
      <c r="L237" s="9">
        <v>0.0</v>
      </c>
      <c r="M237" s="22" t="str">
        <f t="shared" si="2"/>
        <v>OK</v>
      </c>
      <c r="N237" s="19">
        <f t="shared" si="3"/>
        <v>2</v>
      </c>
      <c r="R237" s="14"/>
      <c r="S237" s="8"/>
      <c r="U237" s="14"/>
      <c r="V237" s="9"/>
    </row>
    <row r="238">
      <c r="A238" s="20" t="s">
        <v>492</v>
      </c>
      <c r="B238" s="20" t="s">
        <v>493</v>
      </c>
      <c r="C238" s="21">
        <v>45197.0</v>
      </c>
      <c r="D238" s="21">
        <v>45209.0</v>
      </c>
      <c r="E238" s="9" t="s">
        <v>38</v>
      </c>
      <c r="F238" s="8">
        <v>0.7</v>
      </c>
      <c r="G238" s="8">
        <v>87.0</v>
      </c>
      <c r="H238" s="9">
        <v>1.0</v>
      </c>
      <c r="I238" s="8">
        <v>48.0</v>
      </c>
      <c r="J238" s="9" t="s">
        <v>32</v>
      </c>
      <c r="K238" s="9" t="s">
        <v>16</v>
      </c>
      <c r="L238" s="9">
        <v>0.0</v>
      </c>
      <c r="M238" s="22" t="str">
        <f t="shared" si="2"/>
        <v>OK</v>
      </c>
      <c r="N238" s="19">
        <f t="shared" si="3"/>
        <v>0.7</v>
      </c>
      <c r="R238" s="14"/>
      <c r="S238" s="8"/>
      <c r="U238" s="14"/>
      <c r="V238" s="9"/>
    </row>
    <row r="239">
      <c r="A239" s="20" t="s">
        <v>494</v>
      </c>
      <c r="B239" s="20" t="s">
        <v>495</v>
      </c>
      <c r="C239" s="21">
        <v>45142.0</v>
      </c>
      <c r="D239" s="21">
        <v>45154.0</v>
      </c>
      <c r="E239" s="9" t="s">
        <v>22</v>
      </c>
      <c r="F239" s="8">
        <v>2.5</v>
      </c>
      <c r="G239" s="8">
        <v>67.0</v>
      </c>
      <c r="H239" s="9">
        <v>0.0</v>
      </c>
      <c r="I239" s="8">
        <v>31.0</v>
      </c>
      <c r="J239" s="9" t="s">
        <v>23</v>
      </c>
      <c r="K239" s="9" t="s">
        <v>16</v>
      </c>
      <c r="L239" s="9">
        <v>0.0</v>
      </c>
      <c r="M239" s="22" t="str">
        <f t="shared" si="2"/>
        <v>OK</v>
      </c>
      <c r="N239" s="19">
        <f t="shared" si="3"/>
        <v>2.5</v>
      </c>
      <c r="R239" s="14"/>
      <c r="S239" s="8"/>
      <c r="U239" s="14"/>
      <c r="V239" s="9"/>
    </row>
    <row r="240">
      <c r="A240" s="20" t="s">
        <v>496</v>
      </c>
      <c r="B240" s="20" t="s">
        <v>497</v>
      </c>
      <c r="C240" s="21">
        <v>45198.0</v>
      </c>
      <c r="D240" s="21">
        <v>45210.0</v>
      </c>
      <c r="E240" s="9" t="s">
        <v>38</v>
      </c>
      <c r="F240" s="8">
        <v>2.1</v>
      </c>
      <c r="G240" s="8">
        <v>11.0</v>
      </c>
      <c r="H240" s="9">
        <v>1.0</v>
      </c>
      <c r="I240" s="8">
        <v>36.0</v>
      </c>
      <c r="J240" s="9" t="s">
        <v>15</v>
      </c>
      <c r="K240" s="9" t="s">
        <v>26</v>
      </c>
      <c r="L240" s="9">
        <v>1.0</v>
      </c>
      <c r="M240" s="22" t="str">
        <f t="shared" si="2"/>
        <v>OK</v>
      </c>
      <c r="N240" s="19">
        <f t="shared" si="3"/>
        <v>2.1</v>
      </c>
      <c r="R240" s="14"/>
      <c r="S240" s="8"/>
      <c r="U240" s="14"/>
      <c r="V240" s="9"/>
    </row>
    <row r="241">
      <c r="A241" s="20" t="s">
        <v>498</v>
      </c>
      <c r="B241" s="20" t="s">
        <v>499</v>
      </c>
      <c r="C241" s="21">
        <v>44932.0</v>
      </c>
      <c r="D241" s="21">
        <v>44944.0</v>
      </c>
      <c r="E241" s="9" t="s">
        <v>38</v>
      </c>
      <c r="F241" s="8">
        <v>0.5</v>
      </c>
      <c r="G241" s="8">
        <v>77.0</v>
      </c>
      <c r="H241" s="9">
        <v>0.0</v>
      </c>
      <c r="I241" s="8">
        <v>35.0</v>
      </c>
      <c r="J241" s="9" t="s">
        <v>32</v>
      </c>
      <c r="K241" s="9" t="s">
        <v>26</v>
      </c>
      <c r="L241" s="9">
        <v>0.0</v>
      </c>
      <c r="M241" s="22" t="str">
        <f t="shared" si="2"/>
        <v>OK</v>
      </c>
      <c r="N241" s="19">
        <f t="shared" si="3"/>
        <v>0.5</v>
      </c>
      <c r="R241" s="14"/>
      <c r="S241" s="8"/>
      <c r="U241" s="14"/>
      <c r="V241" s="9"/>
    </row>
    <row r="242">
      <c r="A242" s="20" t="s">
        <v>500</v>
      </c>
      <c r="B242" s="20" t="s">
        <v>501</v>
      </c>
      <c r="C242" s="21">
        <v>45237.0</v>
      </c>
      <c r="D242" s="21">
        <v>45249.0</v>
      </c>
      <c r="E242" s="9" t="s">
        <v>14</v>
      </c>
      <c r="F242" s="8">
        <v>2.9</v>
      </c>
      <c r="G242" s="8">
        <v>64.0</v>
      </c>
      <c r="H242" s="9">
        <v>1.0</v>
      </c>
      <c r="I242" s="8">
        <v>20.0</v>
      </c>
      <c r="J242" s="9" t="s">
        <v>35</v>
      </c>
      <c r="K242" s="9" t="s">
        <v>47</v>
      </c>
      <c r="L242" s="9">
        <v>1.0</v>
      </c>
      <c r="M242" s="22" t="str">
        <f t="shared" si="2"/>
        <v>OK</v>
      </c>
      <c r="N242" s="19">
        <f t="shared" si="3"/>
        <v>2.9</v>
      </c>
      <c r="R242" s="14"/>
      <c r="S242" s="8"/>
      <c r="U242" s="14"/>
      <c r="V242" s="9"/>
    </row>
    <row r="243">
      <c r="A243" s="20" t="s">
        <v>502</v>
      </c>
      <c r="B243" s="20" t="s">
        <v>503</v>
      </c>
      <c r="C243" s="21">
        <v>44927.0</v>
      </c>
      <c r="D243" s="21">
        <v>44939.0</v>
      </c>
      <c r="E243" s="9" t="s">
        <v>22</v>
      </c>
      <c r="F243" s="8">
        <v>1.2</v>
      </c>
      <c r="G243" s="8">
        <v>33.0</v>
      </c>
      <c r="H243" s="9">
        <v>1.0</v>
      </c>
      <c r="I243" s="8">
        <v>27.0</v>
      </c>
      <c r="J243" s="9" t="s">
        <v>35</v>
      </c>
      <c r="K243" s="9" t="s">
        <v>47</v>
      </c>
      <c r="L243" s="9">
        <v>0.0</v>
      </c>
      <c r="M243" s="22" t="str">
        <f t="shared" si="2"/>
        <v>OK</v>
      </c>
      <c r="N243" s="19">
        <f t="shared" si="3"/>
        <v>1.2</v>
      </c>
      <c r="R243" s="14"/>
      <c r="S243" s="8"/>
      <c r="U243" s="14"/>
      <c r="V243" s="9"/>
    </row>
    <row r="244">
      <c r="A244" s="20" t="s">
        <v>504</v>
      </c>
      <c r="B244" s="20" t="s">
        <v>505</v>
      </c>
      <c r="C244" s="21">
        <v>45158.0</v>
      </c>
      <c r="D244" s="21">
        <v>45170.0</v>
      </c>
      <c r="E244" s="9" t="s">
        <v>38</v>
      </c>
      <c r="F244" s="8">
        <v>0.1</v>
      </c>
      <c r="G244" s="8">
        <v>61.0</v>
      </c>
      <c r="H244" s="9">
        <v>1.0</v>
      </c>
      <c r="I244" s="8">
        <v>16.0</v>
      </c>
      <c r="J244" s="9" t="s">
        <v>35</v>
      </c>
      <c r="K244" s="9" t="s">
        <v>26</v>
      </c>
      <c r="L244" s="9">
        <v>1.0</v>
      </c>
      <c r="M244" s="22" t="str">
        <f t="shared" si="2"/>
        <v>OK</v>
      </c>
      <c r="N244" s="19">
        <f t="shared" si="3"/>
        <v>0.1</v>
      </c>
      <c r="R244" s="14"/>
      <c r="S244" s="8"/>
      <c r="U244" s="14"/>
      <c r="V244" s="9"/>
    </row>
    <row r="245">
      <c r="A245" s="20" t="s">
        <v>506</v>
      </c>
      <c r="B245" s="20" t="s">
        <v>507</v>
      </c>
      <c r="C245" s="21">
        <v>45126.0</v>
      </c>
      <c r="D245" s="21">
        <v>45138.0</v>
      </c>
      <c r="E245" s="9" t="s">
        <v>22</v>
      </c>
      <c r="F245" s="8">
        <v>1.4</v>
      </c>
      <c r="G245" s="8">
        <v>97.0</v>
      </c>
      <c r="H245" s="9">
        <v>0.0</v>
      </c>
      <c r="I245" s="8">
        <v>32.0</v>
      </c>
      <c r="J245" s="9" t="s">
        <v>23</v>
      </c>
      <c r="K245" s="9" t="s">
        <v>26</v>
      </c>
      <c r="L245" s="9">
        <v>1.0</v>
      </c>
      <c r="M245" s="22" t="str">
        <f t="shared" si="2"/>
        <v>OK</v>
      </c>
      <c r="N245" s="19">
        <f t="shared" si="3"/>
        <v>1.4</v>
      </c>
      <c r="R245" s="14"/>
      <c r="S245" s="8"/>
      <c r="U245" s="14"/>
      <c r="V245" s="9"/>
    </row>
    <row r="246">
      <c r="A246" s="20" t="s">
        <v>508</v>
      </c>
      <c r="B246" s="20" t="s">
        <v>509</v>
      </c>
      <c r="C246" s="21">
        <v>45264.0</v>
      </c>
      <c r="D246" s="21">
        <v>45276.0</v>
      </c>
      <c r="E246" s="9" t="s">
        <v>29</v>
      </c>
      <c r="F246" s="8">
        <v>3.5</v>
      </c>
      <c r="G246" s="8">
        <v>18.0</v>
      </c>
      <c r="H246" s="9">
        <v>0.0</v>
      </c>
      <c r="I246" s="8">
        <v>54.0</v>
      </c>
      <c r="J246" s="9" t="s">
        <v>19</v>
      </c>
      <c r="K246" s="9" t="s">
        <v>47</v>
      </c>
      <c r="L246" s="9">
        <v>1.0</v>
      </c>
      <c r="M246" s="22" t="str">
        <f t="shared" si="2"/>
        <v>OK</v>
      </c>
      <c r="N246" s="19">
        <f t="shared" si="3"/>
        <v>3.5</v>
      </c>
      <c r="R246" s="14"/>
      <c r="S246" s="8"/>
      <c r="U246" s="14"/>
      <c r="V246" s="9"/>
    </row>
    <row r="247">
      <c r="A247" s="20" t="s">
        <v>510</v>
      </c>
      <c r="B247" s="20" t="s">
        <v>511</v>
      </c>
      <c r="C247" s="21">
        <v>45215.0</v>
      </c>
      <c r="D247" s="21">
        <v>45227.0</v>
      </c>
      <c r="E247" s="9" t="s">
        <v>22</v>
      </c>
      <c r="F247" s="8">
        <v>3.4</v>
      </c>
      <c r="G247" s="8">
        <v>79.0</v>
      </c>
      <c r="H247" s="9">
        <v>0.0</v>
      </c>
      <c r="I247" s="8">
        <v>29.0</v>
      </c>
      <c r="J247" s="9" t="s">
        <v>32</v>
      </c>
      <c r="K247" s="9" t="s">
        <v>47</v>
      </c>
      <c r="L247" s="9">
        <v>1.0</v>
      </c>
      <c r="M247" s="22" t="str">
        <f t="shared" si="2"/>
        <v>OK</v>
      </c>
      <c r="N247" s="19">
        <f t="shared" si="3"/>
        <v>3.4</v>
      </c>
      <c r="R247" s="14"/>
      <c r="S247" s="8"/>
      <c r="U247" s="14"/>
      <c r="V247" s="9"/>
    </row>
    <row r="248">
      <c r="A248" s="20" t="s">
        <v>512</v>
      </c>
      <c r="B248" s="20" t="s">
        <v>513</v>
      </c>
      <c r="C248" s="21">
        <v>44985.0</v>
      </c>
      <c r="D248" s="21">
        <v>44997.0</v>
      </c>
      <c r="E248" s="9" t="s">
        <v>22</v>
      </c>
      <c r="F248" s="8">
        <v>3.0</v>
      </c>
      <c r="G248" s="8">
        <v>2.0</v>
      </c>
      <c r="H248" s="9">
        <v>1.0</v>
      </c>
      <c r="I248" s="8">
        <v>23.0</v>
      </c>
      <c r="J248" s="9" t="s">
        <v>15</v>
      </c>
      <c r="K248" s="9" t="s">
        <v>26</v>
      </c>
      <c r="L248" s="9">
        <v>1.0</v>
      </c>
      <c r="M248" s="22" t="str">
        <f t="shared" si="2"/>
        <v>OK</v>
      </c>
      <c r="N248" s="19">
        <f t="shared" si="3"/>
        <v>3</v>
      </c>
      <c r="R248" s="14"/>
      <c r="S248" s="8"/>
      <c r="U248" s="14"/>
      <c r="V248" s="9"/>
    </row>
    <row r="249">
      <c r="A249" s="20" t="s">
        <v>514</v>
      </c>
      <c r="B249" s="20" t="s">
        <v>515</v>
      </c>
      <c r="C249" s="21">
        <v>44956.0</v>
      </c>
      <c r="D249" s="21">
        <v>44968.0</v>
      </c>
      <c r="E249" s="9" t="s">
        <v>38</v>
      </c>
      <c r="F249" s="8">
        <v>3.1</v>
      </c>
      <c r="G249" s="8">
        <v>90.0</v>
      </c>
      <c r="H249" s="9">
        <v>1.0</v>
      </c>
      <c r="I249" s="8">
        <v>38.0</v>
      </c>
      <c r="J249" s="9" t="s">
        <v>32</v>
      </c>
      <c r="K249" s="9" t="s">
        <v>16</v>
      </c>
      <c r="L249" s="9">
        <v>0.0</v>
      </c>
      <c r="M249" s="22" t="str">
        <f t="shared" si="2"/>
        <v>OK</v>
      </c>
      <c r="N249" s="19">
        <f t="shared" si="3"/>
        <v>3.1</v>
      </c>
      <c r="R249" s="14"/>
      <c r="S249" s="8"/>
      <c r="U249" s="14"/>
      <c r="V249" s="9"/>
    </row>
    <row r="250">
      <c r="A250" s="20" t="s">
        <v>516</v>
      </c>
      <c r="B250" s="20" t="s">
        <v>517</v>
      </c>
      <c r="C250" s="21">
        <v>45130.0</v>
      </c>
      <c r="D250" s="21">
        <v>45142.0</v>
      </c>
      <c r="E250" s="9" t="s">
        <v>22</v>
      </c>
      <c r="F250" s="8">
        <v>0.9</v>
      </c>
      <c r="G250" s="8">
        <v>5.0</v>
      </c>
      <c r="H250" s="9">
        <v>1.0</v>
      </c>
      <c r="I250" s="8">
        <v>49.0</v>
      </c>
      <c r="J250" s="9" t="s">
        <v>23</v>
      </c>
      <c r="K250" s="9" t="s">
        <v>16</v>
      </c>
      <c r="L250" s="9">
        <v>1.0</v>
      </c>
      <c r="M250" s="22" t="str">
        <f t="shared" si="2"/>
        <v>OK</v>
      </c>
      <c r="N250" s="19">
        <f t="shared" si="3"/>
        <v>0.9</v>
      </c>
      <c r="R250" s="14"/>
      <c r="S250" s="8"/>
      <c r="U250" s="14"/>
      <c r="V250" s="9"/>
    </row>
    <row r="251">
      <c r="A251" s="20" t="s">
        <v>518</v>
      </c>
      <c r="B251" s="20" t="s">
        <v>519</v>
      </c>
      <c r="C251" s="21">
        <v>45201.0</v>
      </c>
      <c r="D251" s="21">
        <v>45213.0</v>
      </c>
      <c r="E251" s="9" t="s">
        <v>38</v>
      </c>
      <c r="F251" s="8">
        <v>1.6</v>
      </c>
      <c r="G251" s="8">
        <v>88.0</v>
      </c>
      <c r="H251" s="9">
        <v>0.0</v>
      </c>
      <c r="I251" s="8">
        <v>15.0</v>
      </c>
      <c r="J251" s="9" t="s">
        <v>15</v>
      </c>
      <c r="K251" s="9" t="s">
        <v>16</v>
      </c>
      <c r="L251" s="9">
        <v>1.0</v>
      </c>
      <c r="M251" s="22" t="str">
        <f t="shared" si="2"/>
        <v>OK</v>
      </c>
      <c r="N251" s="19">
        <f t="shared" si="3"/>
        <v>1.6</v>
      </c>
      <c r="R251" s="14"/>
      <c r="S251" s="8"/>
      <c r="U251" s="14"/>
      <c r="V251" s="9"/>
    </row>
    <row r="252">
      <c r="A252" s="20" t="s">
        <v>520</v>
      </c>
      <c r="B252" s="20" t="s">
        <v>521</v>
      </c>
      <c r="C252" s="21">
        <v>45034.0</v>
      </c>
      <c r="D252" s="21">
        <v>45046.0</v>
      </c>
      <c r="E252" s="9" t="s">
        <v>14</v>
      </c>
      <c r="F252" s="8">
        <v>3.8</v>
      </c>
      <c r="G252" s="8">
        <v>83.0</v>
      </c>
      <c r="H252" s="9">
        <v>1.0</v>
      </c>
      <c r="I252" s="8">
        <v>25.0</v>
      </c>
      <c r="J252" s="9" t="s">
        <v>35</v>
      </c>
      <c r="K252" s="9" t="s">
        <v>26</v>
      </c>
      <c r="L252" s="9">
        <v>1.0</v>
      </c>
      <c r="M252" s="22" t="str">
        <f t="shared" si="2"/>
        <v>OK</v>
      </c>
      <c r="N252" s="19">
        <f t="shared" si="3"/>
        <v>3.8</v>
      </c>
      <c r="R252" s="14"/>
      <c r="S252" s="8"/>
      <c r="U252" s="14"/>
      <c r="V252" s="9"/>
    </row>
    <row r="253">
      <c r="A253" s="20" t="s">
        <v>522</v>
      </c>
      <c r="B253" s="20" t="s">
        <v>523</v>
      </c>
      <c r="C253" s="21">
        <v>45029.0</v>
      </c>
      <c r="D253" s="21">
        <v>45041.0</v>
      </c>
      <c r="E253" s="9" t="s">
        <v>29</v>
      </c>
      <c r="F253" s="8">
        <v>3.7</v>
      </c>
      <c r="G253" s="8">
        <v>71.0</v>
      </c>
      <c r="H253" s="9">
        <v>1.0</v>
      </c>
      <c r="I253" s="8">
        <v>34.0</v>
      </c>
      <c r="J253" s="9" t="s">
        <v>35</v>
      </c>
      <c r="K253" s="9" t="s">
        <v>16</v>
      </c>
      <c r="L253" s="9">
        <v>1.0</v>
      </c>
      <c r="M253" s="22" t="str">
        <f t="shared" si="2"/>
        <v>OK</v>
      </c>
      <c r="N253" s="19">
        <f t="shared" si="3"/>
        <v>3.7</v>
      </c>
      <c r="R253" s="14"/>
      <c r="S253" s="8"/>
      <c r="U253" s="14"/>
      <c r="V253" s="9"/>
    </row>
    <row r="254">
      <c r="A254" s="20" t="s">
        <v>524</v>
      </c>
      <c r="B254" s="20" t="s">
        <v>525</v>
      </c>
      <c r="C254" s="21">
        <v>45254.0</v>
      </c>
      <c r="D254" s="21">
        <v>45266.0</v>
      </c>
      <c r="E254" s="9" t="s">
        <v>22</v>
      </c>
      <c r="F254" s="8">
        <v>2.2</v>
      </c>
      <c r="G254" s="8">
        <v>56.0</v>
      </c>
      <c r="H254" s="9">
        <v>0.0</v>
      </c>
      <c r="I254" s="8">
        <v>12.0</v>
      </c>
      <c r="J254" s="9" t="s">
        <v>32</v>
      </c>
      <c r="K254" s="9" t="s">
        <v>16</v>
      </c>
      <c r="L254" s="9">
        <v>0.0</v>
      </c>
      <c r="M254" s="22" t="str">
        <f t="shared" si="2"/>
        <v>OK</v>
      </c>
      <c r="N254" s="19">
        <f t="shared" si="3"/>
        <v>2.2</v>
      </c>
      <c r="R254" s="14"/>
      <c r="S254" s="8"/>
      <c r="U254" s="14"/>
      <c r="V254" s="9"/>
    </row>
    <row r="255">
      <c r="A255" s="20" t="s">
        <v>526</v>
      </c>
      <c r="B255" s="20" t="s">
        <v>527</v>
      </c>
      <c r="C255" s="21">
        <v>45171.0</v>
      </c>
      <c r="D255" s="21">
        <v>45183.0</v>
      </c>
      <c r="E255" s="9" t="s">
        <v>29</v>
      </c>
      <c r="F255" s="8">
        <v>1.8</v>
      </c>
      <c r="G255" s="8">
        <v>25.0</v>
      </c>
      <c r="H255" s="9">
        <v>1.0</v>
      </c>
      <c r="I255" s="8">
        <v>24.0</v>
      </c>
      <c r="J255" s="9" t="s">
        <v>15</v>
      </c>
      <c r="K255" s="9" t="s">
        <v>16</v>
      </c>
      <c r="L255" s="9">
        <v>1.0</v>
      </c>
      <c r="M255" s="22" t="str">
        <f t="shared" si="2"/>
        <v>OK</v>
      </c>
      <c r="N255" s="19">
        <f t="shared" si="3"/>
        <v>1.8</v>
      </c>
      <c r="R255" s="14"/>
      <c r="S255" s="8"/>
      <c r="U255" s="14"/>
      <c r="V255" s="9"/>
    </row>
    <row r="256">
      <c r="A256" s="20" t="s">
        <v>528</v>
      </c>
      <c r="B256" s="20" t="s">
        <v>529</v>
      </c>
      <c r="C256" s="21">
        <v>45117.0</v>
      </c>
      <c r="D256" s="21">
        <v>45129.0</v>
      </c>
      <c r="E256" s="9" t="s">
        <v>14</v>
      </c>
      <c r="F256" s="8">
        <v>0.0</v>
      </c>
      <c r="G256" s="8">
        <v>40.0</v>
      </c>
      <c r="H256" s="9">
        <v>1.0</v>
      </c>
      <c r="I256" s="8">
        <v>47.0</v>
      </c>
      <c r="J256" s="9" t="s">
        <v>32</v>
      </c>
      <c r="K256" s="9" t="s">
        <v>16</v>
      </c>
      <c r="L256" s="9">
        <v>1.0</v>
      </c>
      <c r="M256" s="22" t="str">
        <f t="shared" si="2"/>
        <v>OK</v>
      </c>
      <c r="N256" s="19">
        <f t="shared" si="3"/>
        <v>0</v>
      </c>
      <c r="R256" s="14"/>
      <c r="S256" s="8"/>
      <c r="U256" s="14"/>
      <c r="V256" s="9"/>
    </row>
    <row r="257">
      <c r="A257" s="20" t="s">
        <v>530</v>
      </c>
      <c r="B257" s="20" t="s">
        <v>531</v>
      </c>
      <c r="C257" s="21">
        <v>44946.0</v>
      </c>
      <c r="D257" s="21">
        <v>44958.0</v>
      </c>
      <c r="E257" s="9" t="s">
        <v>14</v>
      </c>
      <c r="F257" s="8">
        <v>4.6</v>
      </c>
      <c r="G257" s="8">
        <v>39.0</v>
      </c>
      <c r="H257" s="9">
        <v>0.0</v>
      </c>
      <c r="I257" s="8">
        <v>21.0</v>
      </c>
      <c r="J257" s="9" t="s">
        <v>23</v>
      </c>
      <c r="K257" s="9" t="s">
        <v>26</v>
      </c>
      <c r="L257" s="9">
        <v>1.0</v>
      </c>
      <c r="M257" s="22" t="str">
        <f t="shared" si="2"/>
        <v>OK</v>
      </c>
      <c r="N257" s="19">
        <f t="shared" si="3"/>
        <v>4.6</v>
      </c>
      <c r="R257" s="14"/>
      <c r="S257" s="8"/>
      <c r="U257" s="14"/>
      <c r="V257" s="9"/>
    </row>
    <row r="258">
      <c r="A258" s="20" t="s">
        <v>532</v>
      </c>
      <c r="B258" s="20" t="s">
        <v>533</v>
      </c>
      <c r="C258" s="21">
        <v>45252.0</v>
      </c>
      <c r="D258" s="21">
        <v>45264.0</v>
      </c>
      <c r="E258" s="9" t="s">
        <v>14</v>
      </c>
      <c r="F258" s="8">
        <v>4.3</v>
      </c>
      <c r="G258" s="8">
        <v>46.0</v>
      </c>
      <c r="H258" s="9">
        <v>1.0</v>
      </c>
      <c r="I258" s="8">
        <v>26.0</v>
      </c>
      <c r="J258" s="9" t="s">
        <v>15</v>
      </c>
      <c r="K258" s="9" t="s">
        <v>47</v>
      </c>
      <c r="L258" s="9">
        <v>1.0</v>
      </c>
      <c r="M258" s="22" t="str">
        <f t="shared" si="2"/>
        <v>OK</v>
      </c>
      <c r="N258" s="19">
        <f t="shared" si="3"/>
        <v>4.3</v>
      </c>
      <c r="R258" s="14"/>
      <c r="S258" s="8"/>
      <c r="U258" s="14"/>
      <c r="V258" s="9"/>
    </row>
    <row r="259">
      <c r="A259" s="20" t="s">
        <v>534</v>
      </c>
      <c r="B259" s="20" t="s">
        <v>535</v>
      </c>
      <c r="C259" s="21">
        <v>45104.0</v>
      </c>
      <c r="D259" s="21">
        <v>45116.0</v>
      </c>
      <c r="E259" s="9" t="s">
        <v>14</v>
      </c>
      <c r="F259" s="8">
        <v>1.8</v>
      </c>
      <c r="G259" s="8">
        <v>51.0</v>
      </c>
      <c r="H259" s="9">
        <v>0.0</v>
      </c>
      <c r="I259" s="8">
        <v>13.0</v>
      </c>
      <c r="J259" s="9" t="s">
        <v>35</v>
      </c>
      <c r="K259" s="9" t="s">
        <v>16</v>
      </c>
      <c r="L259" s="9">
        <v>1.0</v>
      </c>
      <c r="M259" s="22" t="str">
        <f t="shared" si="2"/>
        <v>OK</v>
      </c>
      <c r="N259" s="19">
        <f t="shared" si="3"/>
        <v>1.8</v>
      </c>
      <c r="R259" s="14"/>
      <c r="S259" s="8"/>
      <c r="U259" s="14"/>
      <c r="V259" s="9"/>
    </row>
    <row r="260">
      <c r="A260" s="20" t="s">
        <v>536</v>
      </c>
      <c r="B260" s="20" t="s">
        <v>537</v>
      </c>
      <c r="C260" s="21">
        <v>45119.0</v>
      </c>
      <c r="D260" s="21">
        <v>45131.0</v>
      </c>
      <c r="E260" s="9" t="s">
        <v>29</v>
      </c>
      <c r="F260" s="8">
        <v>0.9</v>
      </c>
      <c r="G260" s="8">
        <v>16.0</v>
      </c>
      <c r="H260" s="9">
        <v>0.0</v>
      </c>
      <c r="I260" s="8">
        <v>30.0</v>
      </c>
      <c r="J260" s="9" t="s">
        <v>32</v>
      </c>
      <c r="K260" s="9" t="s">
        <v>47</v>
      </c>
      <c r="L260" s="9">
        <v>1.0</v>
      </c>
      <c r="M260" s="22" t="str">
        <f t="shared" si="2"/>
        <v>OK</v>
      </c>
      <c r="N260" s="19">
        <f t="shared" si="3"/>
        <v>0.9</v>
      </c>
      <c r="R260" s="14"/>
      <c r="S260" s="8"/>
      <c r="U260" s="14"/>
      <c r="V260" s="9"/>
    </row>
    <row r="261">
      <c r="A261" s="20" t="s">
        <v>538</v>
      </c>
      <c r="B261" s="20" t="s">
        <v>539</v>
      </c>
      <c r="C261" s="21">
        <v>45233.0</v>
      </c>
      <c r="D261" s="21">
        <v>45245.0</v>
      </c>
      <c r="E261" s="9" t="s">
        <v>22</v>
      </c>
      <c r="F261" s="8">
        <v>2.0</v>
      </c>
      <c r="G261" s="8">
        <v>98.0</v>
      </c>
      <c r="H261" s="9">
        <v>0.0</v>
      </c>
      <c r="I261" s="8">
        <v>33.0</v>
      </c>
      <c r="J261" s="9" t="s">
        <v>35</v>
      </c>
      <c r="K261" s="9" t="s">
        <v>47</v>
      </c>
      <c r="L261" s="9">
        <v>0.0</v>
      </c>
      <c r="M261" s="22" t="str">
        <f t="shared" si="2"/>
        <v>OK</v>
      </c>
      <c r="N261" s="19">
        <f t="shared" si="3"/>
        <v>2</v>
      </c>
      <c r="R261" s="14"/>
      <c r="S261" s="8"/>
      <c r="U261" s="14"/>
      <c r="V261" s="9"/>
    </row>
    <row r="262">
      <c r="A262" s="20" t="s">
        <v>540</v>
      </c>
      <c r="B262" s="20" t="s">
        <v>541</v>
      </c>
      <c r="C262" s="21">
        <v>45108.0</v>
      </c>
      <c r="D262" s="21">
        <v>45120.0</v>
      </c>
      <c r="E262" s="9" t="s">
        <v>14</v>
      </c>
      <c r="F262" s="8">
        <v>3.1</v>
      </c>
      <c r="G262" s="8">
        <v>52.0</v>
      </c>
      <c r="H262" s="9">
        <v>0.0</v>
      </c>
      <c r="I262" s="8">
        <v>56.0</v>
      </c>
      <c r="J262" s="9" t="s">
        <v>15</v>
      </c>
      <c r="K262" s="9" t="s">
        <v>26</v>
      </c>
      <c r="L262" s="9">
        <v>1.0</v>
      </c>
      <c r="M262" s="22" t="str">
        <f t="shared" si="2"/>
        <v>OK</v>
      </c>
      <c r="N262" s="19">
        <f t="shared" si="3"/>
        <v>3.1</v>
      </c>
      <c r="R262" s="14"/>
      <c r="S262" s="8"/>
      <c r="U262" s="14"/>
      <c r="V262" s="9"/>
    </row>
    <row r="263">
      <c r="A263" s="20" t="s">
        <v>542</v>
      </c>
      <c r="B263" s="20" t="s">
        <v>543</v>
      </c>
      <c r="C263" s="21">
        <v>44987.0</v>
      </c>
      <c r="D263" s="21">
        <v>44999.0</v>
      </c>
      <c r="E263" s="9" t="s">
        <v>29</v>
      </c>
      <c r="F263" s="8">
        <v>2.8</v>
      </c>
      <c r="G263" s="8">
        <v>74.0</v>
      </c>
      <c r="H263" s="9">
        <v>0.0</v>
      </c>
      <c r="I263" s="8">
        <v>22.0</v>
      </c>
      <c r="J263" s="9" t="s">
        <v>19</v>
      </c>
      <c r="K263" s="9" t="s">
        <v>16</v>
      </c>
      <c r="L263" s="9">
        <v>1.0</v>
      </c>
      <c r="M263" s="22" t="str">
        <f t="shared" si="2"/>
        <v>OK</v>
      </c>
      <c r="N263" s="19">
        <f t="shared" si="3"/>
        <v>2.8</v>
      </c>
      <c r="R263" s="14"/>
      <c r="S263" s="8"/>
      <c r="U263" s="14"/>
      <c r="V263" s="9"/>
    </row>
    <row r="264">
      <c r="A264" s="20" t="s">
        <v>544</v>
      </c>
      <c r="B264" s="20" t="s">
        <v>545</v>
      </c>
      <c r="C264" s="21">
        <v>44985.0</v>
      </c>
      <c r="D264" s="21">
        <v>44997.0</v>
      </c>
      <c r="E264" s="9" t="s">
        <v>38</v>
      </c>
      <c r="F264" s="8">
        <v>3.8</v>
      </c>
      <c r="G264" s="8">
        <v>12.0</v>
      </c>
      <c r="H264" s="9">
        <v>0.0</v>
      </c>
      <c r="I264" s="8">
        <v>42.0</v>
      </c>
      <c r="J264" s="9" t="s">
        <v>23</v>
      </c>
      <c r="K264" s="9" t="s">
        <v>47</v>
      </c>
      <c r="L264" s="9">
        <v>1.0</v>
      </c>
      <c r="M264" s="22" t="str">
        <f t="shared" si="2"/>
        <v>OK</v>
      </c>
      <c r="N264" s="19">
        <f t="shared" si="3"/>
        <v>3.8</v>
      </c>
      <c r="R264" s="14"/>
      <c r="S264" s="8"/>
      <c r="U264" s="14"/>
      <c r="V264" s="9"/>
    </row>
    <row r="265">
      <c r="A265" s="20" t="s">
        <v>546</v>
      </c>
      <c r="B265" s="20" t="s">
        <v>547</v>
      </c>
      <c r="C265" s="21">
        <v>45112.0</v>
      </c>
      <c r="D265" s="21">
        <v>45124.0</v>
      </c>
      <c r="E265" s="9" t="s">
        <v>22</v>
      </c>
      <c r="F265" s="8">
        <v>4.3</v>
      </c>
      <c r="G265" s="8">
        <v>7.0</v>
      </c>
      <c r="H265" s="9">
        <v>1.0</v>
      </c>
      <c r="I265" s="8">
        <v>40.0</v>
      </c>
      <c r="J265" s="9" t="s">
        <v>15</v>
      </c>
      <c r="K265" s="9" t="s">
        <v>26</v>
      </c>
      <c r="L265" s="9">
        <v>1.0</v>
      </c>
      <c r="M265" s="22" t="str">
        <f t="shared" si="2"/>
        <v>OK</v>
      </c>
      <c r="N265" s="19">
        <f t="shared" si="3"/>
        <v>4.3</v>
      </c>
      <c r="R265" s="14"/>
      <c r="S265" s="8"/>
      <c r="U265" s="14"/>
      <c r="V265" s="9"/>
    </row>
    <row r="266">
      <c r="A266" s="20" t="s">
        <v>548</v>
      </c>
      <c r="B266" s="20" t="s">
        <v>549</v>
      </c>
      <c r="C266" s="21">
        <v>45073.0</v>
      </c>
      <c r="D266" s="21">
        <v>45085.0</v>
      </c>
      <c r="E266" s="9" t="s">
        <v>38</v>
      </c>
      <c r="F266" s="8">
        <v>3.3</v>
      </c>
      <c r="G266" s="8">
        <v>96.0</v>
      </c>
      <c r="H266" s="9">
        <v>0.0</v>
      </c>
      <c r="I266" s="8">
        <v>39.0</v>
      </c>
      <c r="J266" s="9" t="s">
        <v>23</v>
      </c>
      <c r="K266" s="9" t="s">
        <v>47</v>
      </c>
      <c r="L266" s="9">
        <v>1.0</v>
      </c>
      <c r="M266" s="22" t="str">
        <f t="shared" si="2"/>
        <v>OK</v>
      </c>
      <c r="N266" s="19">
        <f t="shared" si="3"/>
        <v>3.3</v>
      </c>
      <c r="R266" s="14"/>
      <c r="S266" s="8"/>
      <c r="U266" s="14"/>
      <c r="V266" s="9"/>
    </row>
    <row r="267">
      <c r="A267" s="20" t="s">
        <v>550</v>
      </c>
      <c r="B267" s="20" t="s">
        <v>551</v>
      </c>
      <c r="C267" s="21">
        <v>45096.0</v>
      </c>
      <c r="D267" s="21">
        <v>45108.0</v>
      </c>
      <c r="E267" s="9" t="s">
        <v>38</v>
      </c>
      <c r="F267" s="8">
        <v>4.5</v>
      </c>
      <c r="G267" s="8">
        <v>20.0</v>
      </c>
      <c r="H267" s="9">
        <v>1.0</v>
      </c>
      <c r="I267" s="8">
        <v>53.0</v>
      </c>
      <c r="J267" s="9" t="s">
        <v>35</v>
      </c>
      <c r="K267" s="9" t="s">
        <v>16</v>
      </c>
      <c r="L267" s="9">
        <v>1.0</v>
      </c>
      <c r="M267" s="22" t="str">
        <f t="shared" si="2"/>
        <v>OK</v>
      </c>
      <c r="N267" s="19">
        <f t="shared" si="3"/>
        <v>4.5</v>
      </c>
      <c r="R267" s="14"/>
      <c r="S267" s="8"/>
      <c r="U267" s="14"/>
      <c r="V267" s="9"/>
    </row>
    <row r="268">
      <c r="A268" s="20" t="s">
        <v>552</v>
      </c>
      <c r="B268" s="20" t="s">
        <v>553</v>
      </c>
      <c r="C268" s="21">
        <v>45189.0</v>
      </c>
      <c r="D268" s="21">
        <v>45201.0</v>
      </c>
      <c r="E268" s="9" t="s">
        <v>14</v>
      </c>
      <c r="F268" s="8">
        <v>3.0</v>
      </c>
      <c r="G268" s="8">
        <v>92.0</v>
      </c>
      <c r="H268" s="9">
        <v>0.0</v>
      </c>
      <c r="I268" s="8">
        <v>18.0</v>
      </c>
      <c r="J268" s="9" t="s">
        <v>35</v>
      </c>
      <c r="K268" s="9" t="s">
        <v>16</v>
      </c>
      <c r="L268" s="9">
        <v>0.0</v>
      </c>
      <c r="M268" s="22" t="str">
        <f t="shared" si="2"/>
        <v>OK</v>
      </c>
      <c r="N268" s="19">
        <f t="shared" si="3"/>
        <v>3</v>
      </c>
      <c r="R268" s="14"/>
      <c r="S268" s="8"/>
      <c r="U268" s="14"/>
      <c r="V268" s="9"/>
    </row>
    <row r="269">
      <c r="A269" s="20" t="s">
        <v>554</v>
      </c>
      <c r="B269" s="20" t="s">
        <v>555</v>
      </c>
      <c r="C269" s="21">
        <v>45155.0</v>
      </c>
      <c r="D269" s="21">
        <v>45167.0</v>
      </c>
      <c r="E269" s="9" t="s">
        <v>14</v>
      </c>
      <c r="F269" s="8">
        <v>1.9</v>
      </c>
      <c r="G269" s="8">
        <v>0.0</v>
      </c>
      <c r="H269" s="9">
        <v>0.0</v>
      </c>
      <c r="I269" s="8">
        <v>44.0</v>
      </c>
      <c r="J269" s="9" t="s">
        <v>15</v>
      </c>
      <c r="K269" s="9" t="s">
        <v>47</v>
      </c>
      <c r="L269" s="9">
        <v>0.0</v>
      </c>
      <c r="M269" s="22" t="str">
        <f t="shared" si="2"/>
        <v>OK</v>
      </c>
      <c r="N269" s="19">
        <f t="shared" si="3"/>
        <v>1.9</v>
      </c>
      <c r="R269" s="14"/>
      <c r="S269" s="8"/>
      <c r="U269" s="14"/>
      <c r="V269" s="9"/>
    </row>
    <row r="270">
      <c r="A270" s="20" t="s">
        <v>556</v>
      </c>
      <c r="B270" s="20" t="s">
        <v>557</v>
      </c>
      <c r="C270" s="21">
        <v>45098.0</v>
      </c>
      <c r="D270" s="21">
        <v>45110.0</v>
      </c>
      <c r="E270" s="9" t="s">
        <v>22</v>
      </c>
      <c r="F270" s="8">
        <v>2.2</v>
      </c>
      <c r="G270" s="8">
        <v>73.0</v>
      </c>
      <c r="H270" s="9">
        <v>1.0</v>
      </c>
      <c r="I270" s="8">
        <v>43.0</v>
      </c>
      <c r="J270" s="9" t="s">
        <v>32</v>
      </c>
      <c r="K270" s="9" t="s">
        <v>26</v>
      </c>
      <c r="L270" s="9">
        <v>0.0</v>
      </c>
      <c r="M270" s="22" t="str">
        <f t="shared" si="2"/>
        <v>OK</v>
      </c>
      <c r="N270" s="19">
        <f t="shared" si="3"/>
        <v>2.2</v>
      </c>
      <c r="R270" s="14"/>
      <c r="S270" s="8"/>
      <c r="U270" s="14"/>
      <c r="V270" s="9"/>
    </row>
    <row r="271">
      <c r="A271" s="20" t="s">
        <v>558</v>
      </c>
      <c r="B271" s="20" t="s">
        <v>559</v>
      </c>
      <c r="C271" s="21">
        <v>45168.0</v>
      </c>
      <c r="D271" s="21">
        <v>45180.0</v>
      </c>
      <c r="E271" s="9" t="s">
        <v>22</v>
      </c>
      <c r="F271" s="8">
        <v>1.6</v>
      </c>
      <c r="G271" s="8">
        <v>19.0</v>
      </c>
      <c r="H271" s="9">
        <v>1.0</v>
      </c>
      <c r="I271" s="8">
        <v>52.0</v>
      </c>
      <c r="J271" s="9" t="s">
        <v>19</v>
      </c>
      <c r="K271" s="9" t="s">
        <v>47</v>
      </c>
      <c r="L271" s="9">
        <v>1.0</v>
      </c>
      <c r="M271" s="22" t="str">
        <f t="shared" si="2"/>
        <v>OK</v>
      </c>
      <c r="N271" s="19">
        <f t="shared" si="3"/>
        <v>1.6</v>
      </c>
      <c r="R271" s="14"/>
      <c r="S271" s="8"/>
      <c r="U271" s="14"/>
      <c r="V271" s="9"/>
    </row>
    <row r="272">
      <c r="A272" s="20" t="s">
        <v>560</v>
      </c>
      <c r="B272" s="20" t="s">
        <v>561</v>
      </c>
      <c r="C272" s="21">
        <v>45258.0</v>
      </c>
      <c r="D272" s="21">
        <v>45270.0</v>
      </c>
      <c r="E272" s="9" t="s">
        <v>38</v>
      </c>
      <c r="F272" s="8">
        <v>1.1</v>
      </c>
      <c r="G272" s="8">
        <v>68.0</v>
      </c>
      <c r="H272" s="9">
        <v>1.0</v>
      </c>
      <c r="I272" s="8">
        <v>46.0</v>
      </c>
      <c r="J272" s="9" t="s">
        <v>15</v>
      </c>
      <c r="K272" s="9" t="s">
        <v>16</v>
      </c>
      <c r="L272" s="9">
        <v>0.0</v>
      </c>
      <c r="M272" s="22" t="str">
        <f t="shared" si="2"/>
        <v>OK</v>
      </c>
      <c r="N272" s="19">
        <f t="shared" si="3"/>
        <v>1.1</v>
      </c>
      <c r="R272" s="14"/>
      <c r="S272" s="8"/>
      <c r="U272" s="14"/>
      <c r="V272" s="9"/>
    </row>
    <row r="273">
      <c r="A273" s="20" t="s">
        <v>562</v>
      </c>
      <c r="B273" s="20" t="s">
        <v>563</v>
      </c>
      <c r="C273" s="21">
        <v>45142.0</v>
      </c>
      <c r="D273" s="21">
        <v>45154.0</v>
      </c>
      <c r="E273" s="9" t="s">
        <v>38</v>
      </c>
      <c r="F273" s="8">
        <v>0.7</v>
      </c>
      <c r="G273" s="8">
        <v>81.0</v>
      </c>
      <c r="H273" s="9">
        <v>1.0</v>
      </c>
      <c r="I273" s="8">
        <v>51.0</v>
      </c>
      <c r="J273" s="9" t="s">
        <v>19</v>
      </c>
      <c r="K273" s="9" t="s">
        <v>26</v>
      </c>
      <c r="L273" s="9">
        <v>0.0</v>
      </c>
      <c r="M273" s="22" t="str">
        <f t="shared" si="2"/>
        <v>OK</v>
      </c>
      <c r="N273" s="19">
        <f t="shared" si="3"/>
        <v>0.7</v>
      </c>
      <c r="R273" s="14"/>
      <c r="S273" s="8"/>
      <c r="U273" s="14"/>
      <c r="V273" s="9"/>
    </row>
    <row r="274">
      <c r="A274" s="20" t="s">
        <v>564</v>
      </c>
      <c r="B274" s="20" t="s">
        <v>565</v>
      </c>
      <c r="C274" s="21">
        <v>45050.0</v>
      </c>
      <c r="D274" s="21">
        <v>45062.0</v>
      </c>
      <c r="E274" s="9" t="s">
        <v>14</v>
      </c>
      <c r="F274" s="8">
        <v>2.1</v>
      </c>
      <c r="G274" s="8">
        <v>45.0</v>
      </c>
      <c r="H274" s="9">
        <v>0.0</v>
      </c>
      <c r="I274" s="8">
        <v>27.0</v>
      </c>
      <c r="J274" s="9" t="s">
        <v>32</v>
      </c>
      <c r="K274" s="9" t="s">
        <v>26</v>
      </c>
      <c r="L274" s="9">
        <v>0.0</v>
      </c>
      <c r="M274" s="22" t="str">
        <f t="shared" si="2"/>
        <v>OK</v>
      </c>
      <c r="N274" s="19">
        <f t="shared" si="3"/>
        <v>2.1</v>
      </c>
      <c r="R274" s="14"/>
      <c r="S274" s="8"/>
      <c r="U274" s="14"/>
      <c r="V274" s="9"/>
    </row>
    <row r="275">
      <c r="A275" s="20" t="s">
        <v>566</v>
      </c>
      <c r="B275" s="20" t="s">
        <v>567</v>
      </c>
      <c r="C275" s="21">
        <v>45207.0</v>
      </c>
      <c r="D275" s="21">
        <v>45219.0</v>
      </c>
      <c r="E275" s="9" t="s">
        <v>22</v>
      </c>
      <c r="F275" s="8">
        <v>5.0</v>
      </c>
      <c r="G275" s="8">
        <v>70.0</v>
      </c>
      <c r="H275" s="9">
        <v>0.0</v>
      </c>
      <c r="I275" s="8">
        <v>34.0</v>
      </c>
      <c r="J275" s="9" t="s">
        <v>32</v>
      </c>
      <c r="K275" s="9" t="s">
        <v>47</v>
      </c>
      <c r="L275" s="9">
        <v>0.0</v>
      </c>
      <c r="M275" s="22" t="str">
        <f t="shared" si="2"/>
        <v>OK</v>
      </c>
      <c r="N275" s="19">
        <f t="shared" si="3"/>
        <v>5</v>
      </c>
      <c r="R275" s="14"/>
      <c r="S275" s="8"/>
      <c r="U275" s="14"/>
      <c r="V275" s="9"/>
    </row>
    <row r="276">
      <c r="A276" s="20" t="s">
        <v>568</v>
      </c>
      <c r="B276" s="20" t="s">
        <v>569</v>
      </c>
      <c r="C276" s="21">
        <v>44977.0</v>
      </c>
      <c r="D276" s="21">
        <v>44989.0</v>
      </c>
      <c r="E276" s="9" t="s">
        <v>14</v>
      </c>
      <c r="F276" s="8">
        <v>3.4</v>
      </c>
      <c r="G276" s="8">
        <v>93.0</v>
      </c>
      <c r="H276" s="9">
        <v>1.0</v>
      </c>
      <c r="I276" s="8">
        <v>35.0</v>
      </c>
      <c r="J276" s="9" t="s">
        <v>19</v>
      </c>
      <c r="K276" s="9" t="s">
        <v>16</v>
      </c>
      <c r="L276" s="9">
        <v>1.0</v>
      </c>
      <c r="M276" s="22" t="str">
        <f t="shared" si="2"/>
        <v>OK</v>
      </c>
      <c r="N276" s="19">
        <f t="shared" si="3"/>
        <v>3.4</v>
      </c>
      <c r="R276" s="14"/>
      <c r="S276" s="8"/>
      <c r="U276" s="14"/>
      <c r="V276" s="9"/>
    </row>
    <row r="277">
      <c r="A277" s="20" t="s">
        <v>570</v>
      </c>
      <c r="B277" s="20" t="s">
        <v>571</v>
      </c>
      <c r="C277" s="21">
        <v>45044.0</v>
      </c>
      <c r="D277" s="21">
        <v>45056.0</v>
      </c>
      <c r="E277" s="9" t="s">
        <v>14</v>
      </c>
      <c r="F277" s="8">
        <v>2.3</v>
      </c>
      <c r="G277" s="8">
        <v>32.0</v>
      </c>
      <c r="H277" s="9">
        <v>1.0</v>
      </c>
      <c r="I277" s="8">
        <v>38.0</v>
      </c>
      <c r="J277" s="9" t="s">
        <v>35</v>
      </c>
      <c r="K277" s="9" t="s">
        <v>47</v>
      </c>
      <c r="L277" s="9">
        <v>0.0</v>
      </c>
      <c r="M277" s="22" t="str">
        <f t="shared" si="2"/>
        <v>OK</v>
      </c>
      <c r="N277" s="19">
        <f t="shared" si="3"/>
        <v>2.3</v>
      </c>
      <c r="R277" s="14"/>
      <c r="S277" s="8"/>
      <c r="U277" s="14"/>
      <c r="V277" s="9"/>
    </row>
    <row r="278">
      <c r="A278" s="20" t="s">
        <v>572</v>
      </c>
      <c r="B278" s="20" t="s">
        <v>573</v>
      </c>
      <c r="C278" s="21">
        <v>45010.0</v>
      </c>
      <c r="D278" s="21">
        <v>45022.0</v>
      </c>
      <c r="E278" s="9" t="s">
        <v>22</v>
      </c>
      <c r="F278" s="8">
        <v>3.7</v>
      </c>
      <c r="G278" s="8">
        <v>9.0</v>
      </c>
      <c r="H278" s="9">
        <v>1.0</v>
      </c>
      <c r="I278" s="8">
        <v>53.0</v>
      </c>
      <c r="J278" s="9" t="s">
        <v>35</v>
      </c>
      <c r="K278" s="9" t="s">
        <v>47</v>
      </c>
      <c r="L278" s="9">
        <v>1.0</v>
      </c>
      <c r="M278" s="22" t="str">
        <f t="shared" si="2"/>
        <v>OK</v>
      </c>
      <c r="N278" s="19">
        <f t="shared" si="3"/>
        <v>3.7</v>
      </c>
      <c r="R278" s="14"/>
      <c r="S278" s="8"/>
      <c r="U278" s="14"/>
      <c r="V278" s="9"/>
    </row>
    <row r="279">
      <c r="A279" s="20" t="s">
        <v>574</v>
      </c>
      <c r="B279" s="20" t="s">
        <v>575</v>
      </c>
      <c r="C279" s="21">
        <v>45185.0</v>
      </c>
      <c r="D279" s="21">
        <v>45197.0</v>
      </c>
      <c r="E279" s="9" t="s">
        <v>14</v>
      </c>
      <c r="F279" s="8">
        <v>1.3</v>
      </c>
      <c r="G279" s="8">
        <v>37.0</v>
      </c>
      <c r="H279" s="9">
        <v>0.0</v>
      </c>
      <c r="I279" s="8">
        <v>50.0</v>
      </c>
      <c r="J279" s="9" t="s">
        <v>35</v>
      </c>
      <c r="K279" s="9" t="s">
        <v>26</v>
      </c>
      <c r="L279" s="9">
        <v>1.0</v>
      </c>
      <c r="M279" s="22" t="str">
        <f t="shared" si="2"/>
        <v>OK</v>
      </c>
      <c r="N279" s="19">
        <f t="shared" si="3"/>
        <v>1.3</v>
      </c>
      <c r="R279" s="14"/>
      <c r="S279" s="8"/>
      <c r="U279" s="14"/>
      <c r="V279" s="9"/>
    </row>
    <row r="280">
      <c r="A280" s="20" t="s">
        <v>576</v>
      </c>
      <c r="B280" s="20" t="s">
        <v>577</v>
      </c>
      <c r="C280" s="21">
        <v>44955.0</v>
      </c>
      <c r="D280" s="21">
        <v>44967.0</v>
      </c>
      <c r="E280" s="9" t="s">
        <v>14</v>
      </c>
      <c r="F280" s="8">
        <v>1.5</v>
      </c>
      <c r="G280" s="8">
        <v>95.0</v>
      </c>
      <c r="H280" s="9">
        <v>0.0</v>
      </c>
      <c r="I280" s="8">
        <v>15.0</v>
      </c>
      <c r="J280" s="9" t="s">
        <v>23</v>
      </c>
      <c r="K280" s="9" t="s">
        <v>16</v>
      </c>
      <c r="L280" s="9">
        <v>1.0</v>
      </c>
      <c r="M280" s="22" t="str">
        <f t="shared" si="2"/>
        <v>OK</v>
      </c>
      <c r="N280" s="19">
        <f t="shared" si="3"/>
        <v>1.5</v>
      </c>
      <c r="R280" s="14"/>
      <c r="S280" s="8"/>
      <c r="U280" s="14"/>
      <c r="V280" s="9"/>
    </row>
    <row r="281">
      <c r="A281" s="20" t="s">
        <v>578</v>
      </c>
      <c r="B281" s="20" t="s">
        <v>579</v>
      </c>
      <c r="C281" s="21">
        <v>44965.0</v>
      </c>
      <c r="D281" s="21">
        <v>44977.0</v>
      </c>
      <c r="E281" s="9" t="s">
        <v>29</v>
      </c>
      <c r="F281" s="8">
        <v>3.9</v>
      </c>
      <c r="G281" s="8">
        <v>76.0</v>
      </c>
      <c r="H281" s="9">
        <v>0.0</v>
      </c>
      <c r="I281" s="8">
        <v>49.0</v>
      </c>
      <c r="J281" s="9" t="s">
        <v>15</v>
      </c>
      <c r="K281" s="9" t="s">
        <v>16</v>
      </c>
      <c r="L281" s="9">
        <v>1.0</v>
      </c>
      <c r="M281" s="22" t="str">
        <f t="shared" si="2"/>
        <v>OK</v>
      </c>
      <c r="N281" s="19">
        <f t="shared" si="3"/>
        <v>3.9</v>
      </c>
      <c r="R281" s="14"/>
      <c r="S281" s="8"/>
      <c r="U281" s="14"/>
      <c r="V281" s="9"/>
    </row>
    <row r="282">
      <c r="A282" s="20" t="s">
        <v>580</v>
      </c>
      <c r="B282" s="20" t="s">
        <v>581</v>
      </c>
      <c r="C282" s="21">
        <v>45175.0</v>
      </c>
      <c r="D282" s="21">
        <v>45187.0</v>
      </c>
      <c r="E282" s="9" t="s">
        <v>22</v>
      </c>
      <c r="F282" s="8">
        <v>0.1</v>
      </c>
      <c r="G282" s="8">
        <v>42.0</v>
      </c>
      <c r="H282" s="9">
        <v>0.0</v>
      </c>
      <c r="I282" s="8">
        <v>46.0</v>
      </c>
      <c r="J282" s="9" t="s">
        <v>35</v>
      </c>
      <c r="K282" s="9" t="s">
        <v>16</v>
      </c>
      <c r="L282" s="9">
        <v>0.0</v>
      </c>
      <c r="M282" s="22" t="str">
        <f t="shared" si="2"/>
        <v>OK</v>
      </c>
      <c r="N282" s="19">
        <f t="shared" si="3"/>
        <v>0.1</v>
      </c>
      <c r="R282" s="14"/>
      <c r="S282" s="8"/>
      <c r="U282" s="14"/>
      <c r="V282" s="9"/>
    </row>
    <row r="283">
      <c r="A283" s="20" t="s">
        <v>582</v>
      </c>
      <c r="B283" s="20" t="s">
        <v>583</v>
      </c>
      <c r="C283" s="21">
        <v>45226.0</v>
      </c>
      <c r="D283" s="21">
        <v>45238.0</v>
      </c>
      <c r="E283" s="9" t="s">
        <v>14</v>
      </c>
      <c r="F283" s="8">
        <v>2.6</v>
      </c>
      <c r="G283" s="8">
        <v>43.0</v>
      </c>
      <c r="H283" s="9">
        <v>1.0</v>
      </c>
      <c r="I283" s="8">
        <v>54.0</v>
      </c>
      <c r="J283" s="9" t="s">
        <v>23</v>
      </c>
      <c r="K283" s="9" t="s">
        <v>47</v>
      </c>
      <c r="L283" s="9">
        <v>0.0</v>
      </c>
      <c r="M283" s="22" t="str">
        <f t="shared" si="2"/>
        <v>OK</v>
      </c>
      <c r="N283" s="19">
        <f t="shared" si="3"/>
        <v>2.6</v>
      </c>
      <c r="R283" s="14"/>
      <c r="S283" s="8"/>
      <c r="U283" s="14"/>
      <c r="V283" s="9"/>
    </row>
    <row r="284">
      <c r="A284" s="20" t="s">
        <v>584</v>
      </c>
      <c r="B284" s="20" t="s">
        <v>585</v>
      </c>
      <c r="C284" s="21">
        <v>45280.0</v>
      </c>
      <c r="D284" s="21">
        <v>45292.0</v>
      </c>
      <c r="E284" s="9" t="s">
        <v>29</v>
      </c>
      <c r="F284" s="8">
        <v>3.2</v>
      </c>
      <c r="G284" s="8">
        <v>85.0</v>
      </c>
      <c r="H284" s="9">
        <v>0.0</v>
      </c>
      <c r="I284" s="8">
        <v>48.0</v>
      </c>
      <c r="J284" s="9" t="s">
        <v>15</v>
      </c>
      <c r="K284" s="9" t="s">
        <v>16</v>
      </c>
      <c r="L284" s="9">
        <v>1.0</v>
      </c>
      <c r="M284" s="22" t="str">
        <f t="shared" si="2"/>
        <v>OK</v>
      </c>
      <c r="N284" s="19">
        <f t="shared" si="3"/>
        <v>3.2</v>
      </c>
      <c r="R284" s="14"/>
      <c r="S284" s="8"/>
      <c r="U284" s="14"/>
      <c r="V284" s="9"/>
    </row>
    <row r="285">
      <c r="A285" s="20" t="s">
        <v>586</v>
      </c>
      <c r="B285" s="20" t="s">
        <v>587</v>
      </c>
      <c r="C285" s="21">
        <v>44940.0</v>
      </c>
      <c r="D285" s="21">
        <v>44952.0</v>
      </c>
      <c r="E285" s="9" t="s">
        <v>14</v>
      </c>
      <c r="F285" s="8">
        <v>0.0</v>
      </c>
      <c r="G285" s="8">
        <v>50.0</v>
      </c>
      <c r="H285" s="9">
        <v>1.0</v>
      </c>
      <c r="I285" s="8">
        <v>52.0</v>
      </c>
      <c r="J285" s="9" t="s">
        <v>19</v>
      </c>
      <c r="K285" s="9" t="s">
        <v>16</v>
      </c>
      <c r="L285" s="9">
        <v>0.0</v>
      </c>
      <c r="M285" s="22" t="str">
        <f t="shared" si="2"/>
        <v>OK</v>
      </c>
      <c r="N285" s="19">
        <f t="shared" si="3"/>
        <v>0</v>
      </c>
      <c r="R285" s="14"/>
      <c r="S285" s="8"/>
      <c r="U285" s="14"/>
      <c r="V285" s="9"/>
    </row>
    <row r="286">
      <c r="A286" s="20" t="s">
        <v>588</v>
      </c>
      <c r="B286" s="20" t="s">
        <v>589</v>
      </c>
      <c r="C286" s="21">
        <v>45228.0</v>
      </c>
      <c r="D286" s="21">
        <v>45240.0</v>
      </c>
      <c r="E286" s="9" t="s">
        <v>14</v>
      </c>
      <c r="F286" s="8">
        <v>0.8</v>
      </c>
      <c r="G286" s="8">
        <v>23.0</v>
      </c>
      <c r="H286" s="9">
        <v>1.0</v>
      </c>
      <c r="I286" s="8">
        <v>43.0</v>
      </c>
      <c r="J286" s="9" t="s">
        <v>35</v>
      </c>
      <c r="K286" s="9" t="s">
        <v>26</v>
      </c>
      <c r="L286" s="9">
        <v>1.0</v>
      </c>
      <c r="M286" s="22" t="str">
        <f t="shared" si="2"/>
        <v>OK</v>
      </c>
      <c r="N286" s="19">
        <f t="shared" si="3"/>
        <v>0.8</v>
      </c>
      <c r="R286" s="14"/>
      <c r="S286" s="8"/>
      <c r="U286" s="14"/>
      <c r="V286" s="9"/>
    </row>
    <row r="287">
      <c r="A287" s="20" t="s">
        <v>590</v>
      </c>
      <c r="B287" s="20" t="s">
        <v>591</v>
      </c>
      <c r="C287" s="21">
        <v>44960.0</v>
      </c>
      <c r="D287" s="21">
        <v>44972.0</v>
      </c>
      <c r="E287" s="9" t="s">
        <v>14</v>
      </c>
      <c r="F287" s="8">
        <v>4.0</v>
      </c>
      <c r="G287" s="8">
        <v>75.0</v>
      </c>
      <c r="H287" s="9">
        <v>1.0</v>
      </c>
      <c r="I287" s="8">
        <v>26.0</v>
      </c>
      <c r="J287" s="9" t="s">
        <v>35</v>
      </c>
      <c r="K287" s="9" t="s">
        <v>16</v>
      </c>
      <c r="L287" s="9">
        <v>1.0</v>
      </c>
      <c r="M287" s="22" t="str">
        <f t="shared" si="2"/>
        <v>OK</v>
      </c>
      <c r="N287" s="19">
        <f t="shared" si="3"/>
        <v>4</v>
      </c>
      <c r="R287" s="14"/>
      <c r="S287" s="8"/>
      <c r="U287" s="14"/>
      <c r="V287" s="9"/>
    </row>
    <row r="288">
      <c r="A288" s="20" t="s">
        <v>592</v>
      </c>
      <c r="B288" s="20" t="s">
        <v>593</v>
      </c>
      <c r="C288" s="21">
        <v>45193.0</v>
      </c>
      <c r="D288" s="21">
        <v>45205.0</v>
      </c>
      <c r="E288" s="9" t="s">
        <v>14</v>
      </c>
      <c r="F288" s="8">
        <v>2.7</v>
      </c>
      <c r="G288" s="8">
        <v>80.0</v>
      </c>
      <c r="H288" s="9">
        <v>0.0</v>
      </c>
      <c r="I288" s="8">
        <v>13.0</v>
      </c>
      <c r="J288" s="9" t="s">
        <v>35</v>
      </c>
      <c r="K288" s="9" t="s">
        <v>16</v>
      </c>
      <c r="L288" s="9">
        <v>1.0</v>
      </c>
      <c r="M288" s="22" t="str">
        <f t="shared" si="2"/>
        <v>OK</v>
      </c>
      <c r="N288" s="19">
        <f t="shared" si="3"/>
        <v>2.7</v>
      </c>
      <c r="R288" s="14"/>
      <c r="S288" s="8"/>
      <c r="U288" s="14"/>
      <c r="V288" s="9"/>
    </row>
    <row r="289">
      <c r="A289" s="20" t="s">
        <v>594</v>
      </c>
      <c r="B289" s="20" t="s">
        <v>595</v>
      </c>
      <c r="C289" s="21">
        <v>45270.0</v>
      </c>
      <c r="D289" s="21">
        <v>45282.0</v>
      </c>
      <c r="E289" s="9" t="s">
        <v>22</v>
      </c>
      <c r="F289" s="8">
        <v>3.6</v>
      </c>
      <c r="G289" s="8">
        <v>44.0</v>
      </c>
      <c r="H289" s="9">
        <v>1.0</v>
      </c>
      <c r="I289" s="8">
        <v>12.0</v>
      </c>
      <c r="J289" s="9" t="s">
        <v>23</v>
      </c>
      <c r="K289" s="9" t="s">
        <v>26</v>
      </c>
      <c r="L289" s="9">
        <v>1.0</v>
      </c>
      <c r="M289" s="22" t="str">
        <f t="shared" si="2"/>
        <v>OK</v>
      </c>
      <c r="N289" s="19">
        <f t="shared" si="3"/>
        <v>3.6</v>
      </c>
      <c r="R289" s="14"/>
      <c r="S289" s="8"/>
      <c r="U289" s="14"/>
      <c r="V289" s="9"/>
    </row>
    <row r="290">
      <c r="A290" s="20" t="s">
        <v>596</v>
      </c>
      <c r="B290" s="20" t="s">
        <v>597</v>
      </c>
      <c r="C290" s="21">
        <v>45260.0</v>
      </c>
      <c r="D290" s="21">
        <v>45272.0</v>
      </c>
      <c r="E290" s="9" t="s">
        <v>14</v>
      </c>
      <c r="F290" s="8">
        <v>4.2</v>
      </c>
      <c r="G290" s="8">
        <v>13.0</v>
      </c>
      <c r="H290" s="9">
        <v>0.0</v>
      </c>
      <c r="I290" s="8">
        <v>18.0</v>
      </c>
      <c r="J290" s="9" t="s">
        <v>35</v>
      </c>
      <c r="K290" s="9" t="s">
        <v>16</v>
      </c>
      <c r="L290" s="9">
        <v>0.0</v>
      </c>
      <c r="M290" s="22" t="str">
        <f t="shared" si="2"/>
        <v>OK</v>
      </c>
      <c r="N290" s="19">
        <f t="shared" si="3"/>
        <v>4.2</v>
      </c>
      <c r="R290" s="14"/>
      <c r="S290" s="8"/>
      <c r="U290" s="14"/>
      <c r="V290" s="9"/>
    </row>
    <row r="291">
      <c r="A291" s="20" t="s">
        <v>598</v>
      </c>
      <c r="B291" s="20" t="s">
        <v>599</v>
      </c>
      <c r="C291" s="21">
        <v>45213.0</v>
      </c>
      <c r="D291" s="21">
        <v>45225.0</v>
      </c>
      <c r="E291" s="9" t="s">
        <v>29</v>
      </c>
      <c r="F291" s="8">
        <v>3.5</v>
      </c>
      <c r="G291" s="8">
        <v>82.0</v>
      </c>
      <c r="H291" s="9">
        <v>0.0</v>
      </c>
      <c r="I291" s="8">
        <v>29.0</v>
      </c>
      <c r="J291" s="9" t="s">
        <v>15</v>
      </c>
      <c r="K291" s="9" t="s">
        <v>26</v>
      </c>
      <c r="L291" s="9">
        <v>0.0</v>
      </c>
      <c r="M291" s="22" t="str">
        <f t="shared" si="2"/>
        <v>OK</v>
      </c>
      <c r="N291" s="19">
        <f t="shared" si="3"/>
        <v>3.5</v>
      </c>
      <c r="R291" s="14"/>
      <c r="S291" s="8"/>
      <c r="U291" s="14"/>
      <c r="V291" s="9"/>
    </row>
    <row r="292">
      <c r="A292" s="20" t="s">
        <v>600</v>
      </c>
      <c r="B292" s="20" t="s">
        <v>601</v>
      </c>
      <c r="C292" s="21">
        <v>44991.0</v>
      </c>
      <c r="D292" s="21">
        <v>45003.0</v>
      </c>
      <c r="E292" s="9" t="s">
        <v>22</v>
      </c>
      <c r="F292" s="8">
        <v>1.4</v>
      </c>
      <c r="G292" s="8">
        <v>65.0</v>
      </c>
      <c r="H292" s="9">
        <v>0.0</v>
      </c>
      <c r="I292" s="8">
        <v>51.0</v>
      </c>
      <c r="J292" s="9" t="s">
        <v>15</v>
      </c>
      <c r="K292" s="9" t="s">
        <v>47</v>
      </c>
      <c r="L292" s="9">
        <v>1.0</v>
      </c>
      <c r="M292" s="22" t="str">
        <f t="shared" si="2"/>
        <v>OK</v>
      </c>
      <c r="N292" s="19">
        <f t="shared" si="3"/>
        <v>1.4</v>
      </c>
      <c r="R292" s="14"/>
      <c r="S292" s="8"/>
      <c r="U292" s="14"/>
      <c r="V292" s="9"/>
    </row>
    <row r="293">
      <c r="A293" s="20" t="s">
        <v>602</v>
      </c>
      <c r="B293" s="20" t="s">
        <v>603</v>
      </c>
      <c r="C293" s="21">
        <v>45290.0</v>
      </c>
      <c r="D293" s="21">
        <v>45302.0</v>
      </c>
      <c r="E293" s="9" t="s">
        <v>38</v>
      </c>
      <c r="F293" s="8">
        <v>1.0</v>
      </c>
      <c r="G293" s="8">
        <v>69.0</v>
      </c>
      <c r="H293" s="9">
        <v>1.0</v>
      </c>
      <c r="I293" s="8">
        <v>55.0</v>
      </c>
      <c r="J293" s="9" t="s">
        <v>23</v>
      </c>
      <c r="K293" s="9" t="s">
        <v>26</v>
      </c>
      <c r="L293" s="9">
        <v>1.0</v>
      </c>
      <c r="M293" s="22" t="str">
        <f t="shared" si="2"/>
        <v>OK</v>
      </c>
      <c r="N293" s="19">
        <f t="shared" si="3"/>
        <v>1</v>
      </c>
      <c r="R293" s="14"/>
      <c r="S293" s="8"/>
      <c r="U293" s="14"/>
      <c r="V293" s="9"/>
    </row>
    <row r="294">
      <c r="A294" s="20" t="s">
        <v>604</v>
      </c>
      <c r="B294" s="20" t="s">
        <v>605</v>
      </c>
      <c r="C294" s="21">
        <v>45126.0</v>
      </c>
      <c r="D294" s="21">
        <v>45138.0</v>
      </c>
      <c r="E294" s="9" t="s">
        <v>22</v>
      </c>
      <c r="F294" s="8">
        <v>0.5</v>
      </c>
      <c r="G294" s="8">
        <v>10.0</v>
      </c>
      <c r="H294" s="9">
        <v>0.0</v>
      </c>
      <c r="I294" s="8">
        <v>20.0</v>
      </c>
      <c r="J294" s="9" t="s">
        <v>32</v>
      </c>
      <c r="K294" s="9" t="s">
        <v>26</v>
      </c>
      <c r="L294" s="9">
        <v>0.0</v>
      </c>
      <c r="M294" s="22" t="str">
        <f t="shared" si="2"/>
        <v>OK</v>
      </c>
      <c r="N294" s="19">
        <f t="shared" si="3"/>
        <v>0.5</v>
      </c>
      <c r="R294" s="14"/>
      <c r="S294" s="8"/>
      <c r="U294" s="14"/>
      <c r="V294" s="9"/>
    </row>
    <row r="295">
      <c r="A295" s="20" t="s">
        <v>606</v>
      </c>
      <c r="B295" s="20" t="s">
        <v>607</v>
      </c>
      <c r="C295" s="21">
        <v>45250.0</v>
      </c>
      <c r="D295" s="21">
        <v>45262.0</v>
      </c>
      <c r="E295" s="9" t="s">
        <v>22</v>
      </c>
      <c r="F295" s="8">
        <v>1.2</v>
      </c>
      <c r="G295" s="8">
        <v>59.0</v>
      </c>
      <c r="H295" s="9">
        <v>1.0</v>
      </c>
      <c r="I295" s="8">
        <v>30.0</v>
      </c>
      <c r="J295" s="9" t="s">
        <v>15</v>
      </c>
      <c r="K295" s="9" t="s">
        <v>47</v>
      </c>
      <c r="L295" s="9">
        <v>1.0</v>
      </c>
      <c r="M295" s="22" t="str">
        <f t="shared" si="2"/>
        <v>OK</v>
      </c>
      <c r="N295" s="19">
        <f t="shared" si="3"/>
        <v>1.2</v>
      </c>
      <c r="R295" s="14"/>
      <c r="S295" s="8"/>
      <c r="U295" s="14"/>
      <c r="V295" s="9"/>
    </row>
    <row r="296">
      <c r="A296" s="20" t="s">
        <v>608</v>
      </c>
      <c r="B296" s="20" t="s">
        <v>609</v>
      </c>
      <c r="C296" s="21">
        <v>45053.0</v>
      </c>
      <c r="D296" s="21">
        <v>45065.0</v>
      </c>
      <c r="E296" s="9" t="s">
        <v>38</v>
      </c>
      <c r="F296" s="8">
        <v>4.7</v>
      </c>
      <c r="G296" s="8">
        <v>94.0</v>
      </c>
      <c r="H296" s="9">
        <v>0.0</v>
      </c>
      <c r="I296" s="8">
        <v>25.0</v>
      </c>
      <c r="J296" s="9" t="s">
        <v>23</v>
      </c>
      <c r="K296" s="9" t="s">
        <v>47</v>
      </c>
      <c r="L296" s="9">
        <v>1.0</v>
      </c>
      <c r="M296" s="22" t="str">
        <f t="shared" si="2"/>
        <v>OK</v>
      </c>
      <c r="N296" s="19">
        <f t="shared" si="3"/>
        <v>4.7</v>
      </c>
      <c r="R296" s="14"/>
      <c r="S296" s="8"/>
      <c r="U296" s="14"/>
      <c r="V296" s="9"/>
    </row>
    <row r="297">
      <c r="A297" s="20" t="s">
        <v>610</v>
      </c>
      <c r="B297" s="20" t="s">
        <v>611</v>
      </c>
      <c r="C297" s="21">
        <v>45055.0</v>
      </c>
      <c r="D297" s="21">
        <v>45067.0</v>
      </c>
      <c r="E297" s="9" t="s">
        <v>38</v>
      </c>
      <c r="F297" s="8">
        <v>4.9</v>
      </c>
      <c r="G297" s="8">
        <v>8.0</v>
      </c>
      <c r="H297" s="9">
        <v>1.0</v>
      </c>
      <c r="I297" s="8">
        <v>21.0</v>
      </c>
      <c r="J297" s="9" t="s">
        <v>15</v>
      </c>
      <c r="K297" s="9" t="s">
        <v>47</v>
      </c>
      <c r="L297" s="9">
        <v>1.0</v>
      </c>
      <c r="M297" s="22" t="str">
        <f t="shared" si="2"/>
        <v>OK</v>
      </c>
      <c r="N297" s="19">
        <f t="shared" si="3"/>
        <v>4.9</v>
      </c>
      <c r="R297" s="14"/>
      <c r="S297" s="8"/>
      <c r="U297" s="14"/>
      <c r="V297" s="9"/>
    </row>
    <row r="298">
      <c r="A298" s="20" t="s">
        <v>612</v>
      </c>
      <c r="B298" s="20" t="s">
        <v>613</v>
      </c>
      <c r="C298" s="21">
        <v>45278.0</v>
      </c>
      <c r="D298" s="21">
        <v>45290.0</v>
      </c>
      <c r="E298" s="9" t="s">
        <v>29</v>
      </c>
      <c r="F298" s="8">
        <v>4.8</v>
      </c>
      <c r="G298" s="8">
        <v>78.0</v>
      </c>
      <c r="H298" s="9">
        <v>1.0</v>
      </c>
      <c r="I298" s="8">
        <v>44.0</v>
      </c>
      <c r="J298" s="9" t="s">
        <v>32</v>
      </c>
      <c r="K298" s="9" t="s">
        <v>16</v>
      </c>
      <c r="L298" s="9">
        <v>1.0</v>
      </c>
      <c r="M298" s="22" t="str">
        <f t="shared" si="2"/>
        <v>OK</v>
      </c>
      <c r="N298" s="19">
        <f t="shared" si="3"/>
        <v>4.8</v>
      </c>
      <c r="R298" s="14"/>
      <c r="S298" s="8"/>
      <c r="U298" s="14"/>
      <c r="V298" s="9"/>
    </row>
    <row r="299">
      <c r="A299" s="20" t="s">
        <v>614</v>
      </c>
      <c r="B299" s="20" t="s">
        <v>615</v>
      </c>
      <c r="C299" s="21">
        <v>45250.0</v>
      </c>
      <c r="D299" s="21">
        <v>45262.0</v>
      </c>
      <c r="E299" s="9" t="s">
        <v>22</v>
      </c>
      <c r="F299" s="8">
        <v>4.6</v>
      </c>
      <c r="G299" s="8">
        <v>47.0</v>
      </c>
      <c r="H299" s="9">
        <v>0.0</v>
      </c>
      <c r="I299" s="8">
        <v>19.0</v>
      </c>
      <c r="J299" s="9" t="s">
        <v>15</v>
      </c>
      <c r="K299" s="9" t="s">
        <v>26</v>
      </c>
      <c r="L299" s="9">
        <v>1.0</v>
      </c>
      <c r="M299" s="22" t="str">
        <f t="shared" si="2"/>
        <v>OK</v>
      </c>
      <c r="N299" s="19">
        <f t="shared" si="3"/>
        <v>4.6</v>
      </c>
      <c r="R299" s="14"/>
      <c r="S299" s="8"/>
      <c r="U299" s="14"/>
      <c r="V299" s="9"/>
    </row>
    <row r="300">
      <c r="A300" s="20" t="s">
        <v>616</v>
      </c>
      <c r="B300" s="20" t="s">
        <v>617</v>
      </c>
      <c r="C300" s="21">
        <v>44938.0</v>
      </c>
      <c r="D300" s="21">
        <v>44950.0</v>
      </c>
      <c r="E300" s="9" t="s">
        <v>14</v>
      </c>
      <c r="F300" s="8">
        <v>2.4</v>
      </c>
      <c r="G300" s="8">
        <v>17.0</v>
      </c>
      <c r="H300" s="9">
        <v>1.0</v>
      </c>
      <c r="I300" s="8">
        <v>32.0</v>
      </c>
      <c r="J300" s="9" t="s">
        <v>35</v>
      </c>
      <c r="K300" s="9" t="s">
        <v>47</v>
      </c>
      <c r="L300" s="9">
        <v>1.0</v>
      </c>
      <c r="M300" s="22" t="str">
        <f t="shared" si="2"/>
        <v>OK</v>
      </c>
      <c r="N300" s="19">
        <f t="shared" si="3"/>
        <v>2.4</v>
      </c>
      <c r="R300" s="14"/>
      <c r="S300" s="8"/>
      <c r="U300" s="14"/>
      <c r="V300" s="9"/>
    </row>
    <row r="301">
      <c r="A301" s="20" t="s">
        <v>618</v>
      </c>
      <c r="B301" s="20" t="s">
        <v>619</v>
      </c>
      <c r="C301" s="21">
        <v>44947.0</v>
      </c>
      <c r="D301" s="21">
        <v>44959.0</v>
      </c>
      <c r="E301" s="9" t="s">
        <v>29</v>
      </c>
      <c r="F301" s="8">
        <v>0.4</v>
      </c>
      <c r="G301" s="8">
        <v>6.0</v>
      </c>
      <c r="H301" s="9">
        <v>0.0</v>
      </c>
      <c r="I301" s="8">
        <v>47.0</v>
      </c>
      <c r="J301" s="9" t="s">
        <v>32</v>
      </c>
      <c r="K301" s="9" t="s">
        <v>47</v>
      </c>
      <c r="L301" s="9">
        <v>0.0</v>
      </c>
      <c r="M301" s="22" t="str">
        <f t="shared" si="2"/>
        <v>OK</v>
      </c>
      <c r="N301" s="19">
        <f t="shared" si="3"/>
        <v>0.4</v>
      </c>
      <c r="R301" s="14"/>
      <c r="S301" s="8"/>
      <c r="U301" s="14"/>
      <c r="V301" s="9"/>
    </row>
    <row r="302">
      <c r="A302" s="20" t="s">
        <v>620</v>
      </c>
      <c r="B302" s="20" t="s">
        <v>621</v>
      </c>
      <c r="C302" s="21">
        <v>45184.0</v>
      </c>
      <c r="D302" s="21">
        <v>45196.0</v>
      </c>
      <c r="E302" s="9" t="s">
        <v>14</v>
      </c>
      <c r="F302" s="8">
        <v>0.3</v>
      </c>
      <c r="G302" s="8">
        <v>35.0</v>
      </c>
      <c r="H302" s="9">
        <v>1.0</v>
      </c>
      <c r="I302" s="8">
        <v>37.0</v>
      </c>
      <c r="J302" s="9" t="s">
        <v>19</v>
      </c>
      <c r="K302" s="9" t="s">
        <v>26</v>
      </c>
      <c r="L302" s="9">
        <v>1.0</v>
      </c>
      <c r="M302" s="22" t="str">
        <f t="shared" si="2"/>
        <v>OK</v>
      </c>
      <c r="N302" s="19">
        <f t="shared" si="3"/>
        <v>0.3</v>
      </c>
      <c r="R302" s="14"/>
      <c r="S302" s="8"/>
      <c r="U302" s="14"/>
      <c r="V302" s="9"/>
    </row>
    <row r="303">
      <c r="A303" s="20" t="s">
        <v>622</v>
      </c>
      <c r="B303" s="20" t="s">
        <v>623</v>
      </c>
      <c r="C303" s="21">
        <v>45125.0</v>
      </c>
      <c r="D303" s="21">
        <v>45137.0</v>
      </c>
      <c r="E303" s="9" t="s">
        <v>22</v>
      </c>
      <c r="F303" s="8">
        <v>0.2</v>
      </c>
      <c r="G303" s="8">
        <v>15.0</v>
      </c>
      <c r="H303" s="9">
        <v>1.0</v>
      </c>
      <c r="I303" s="8">
        <v>23.0</v>
      </c>
      <c r="J303" s="9" t="s">
        <v>19</v>
      </c>
      <c r="K303" s="9" t="s">
        <v>47</v>
      </c>
      <c r="L303" s="9">
        <v>1.0</v>
      </c>
      <c r="M303" s="22" t="str">
        <f t="shared" si="2"/>
        <v>OK</v>
      </c>
      <c r="N303" s="19">
        <f t="shared" si="3"/>
        <v>0.2</v>
      </c>
      <c r="R303" s="14"/>
      <c r="S303" s="8"/>
      <c r="U303" s="14"/>
      <c r="V303" s="9"/>
    </row>
    <row r="304">
      <c r="A304" s="20" t="s">
        <v>624</v>
      </c>
      <c r="B304" s="20" t="s">
        <v>625</v>
      </c>
      <c r="C304" s="21">
        <v>45165.0</v>
      </c>
      <c r="D304" s="21">
        <v>45177.0</v>
      </c>
      <c r="E304" s="9" t="s">
        <v>14</v>
      </c>
      <c r="F304" s="8">
        <v>2.9</v>
      </c>
      <c r="G304" s="8">
        <v>72.0</v>
      </c>
      <c r="H304" s="9">
        <v>1.0</v>
      </c>
      <c r="I304" s="8">
        <v>39.0</v>
      </c>
      <c r="J304" s="9" t="s">
        <v>23</v>
      </c>
      <c r="K304" s="9" t="s">
        <v>16</v>
      </c>
      <c r="L304" s="9">
        <v>1.0</v>
      </c>
      <c r="M304" s="22" t="str">
        <f t="shared" si="2"/>
        <v>OK</v>
      </c>
      <c r="N304" s="19">
        <f t="shared" si="3"/>
        <v>2.9</v>
      </c>
      <c r="R304" s="14"/>
      <c r="S304" s="8"/>
      <c r="U304" s="14"/>
      <c r="V304" s="9"/>
    </row>
    <row r="305">
      <c r="A305" s="20" t="s">
        <v>626</v>
      </c>
      <c r="B305" s="20" t="s">
        <v>627</v>
      </c>
      <c r="C305" s="21">
        <v>45251.0</v>
      </c>
      <c r="D305" s="21">
        <v>45263.0</v>
      </c>
      <c r="E305" s="9" t="s">
        <v>14</v>
      </c>
      <c r="F305" s="8">
        <v>2.5</v>
      </c>
      <c r="G305" s="8">
        <v>31.0</v>
      </c>
      <c r="H305" s="9">
        <v>0.0</v>
      </c>
      <c r="I305" s="8">
        <v>41.0</v>
      </c>
      <c r="J305" s="9" t="s">
        <v>23</v>
      </c>
      <c r="K305" s="9" t="s">
        <v>16</v>
      </c>
      <c r="L305" s="9">
        <v>1.0</v>
      </c>
      <c r="M305" s="22" t="str">
        <f t="shared" si="2"/>
        <v>OK</v>
      </c>
      <c r="N305" s="19">
        <f t="shared" si="3"/>
        <v>2.5</v>
      </c>
      <c r="R305" s="14"/>
      <c r="S305" s="8"/>
      <c r="U305" s="14"/>
      <c r="V305" s="9"/>
    </row>
    <row r="306">
      <c r="A306" s="20" t="s">
        <v>628</v>
      </c>
      <c r="B306" s="20" t="s">
        <v>629</v>
      </c>
      <c r="C306" s="21">
        <v>45097.0</v>
      </c>
      <c r="D306" s="21">
        <v>45109.0</v>
      </c>
      <c r="E306" s="9" t="s">
        <v>29</v>
      </c>
      <c r="F306" s="8">
        <v>4.1</v>
      </c>
      <c r="G306" s="8">
        <v>22.0</v>
      </c>
      <c r="H306" s="9">
        <v>1.0</v>
      </c>
      <c r="I306" s="8">
        <v>36.0</v>
      </c>
      <c r="J306" s="9" t="s">
        <v>15</v>
      </c>
      <c r="K306" s="9" t="s">
        <v>26</v>
      </c>
      <c r="L306" s="9">
        <v>1.0</v>
      </c>
      <c r="M306" s="22" t="str">
        <f t="shared" si="2"/>
        <v>OK</v>
      </c>
      <c r="N306" s="19">
        <f t="shared" si="3"/>
        <v>4.1</v>
      </c>
      <c r="R306" s="14"/>
      <c r="S306" s="8"/>
      <c r="U306" s="14"/>
      <c r="V306" s="9"/>
    </row>
    <row r="307">
      <c r="A307" s="20" t="s">
        <v>630</v>
      </c>
      <c r="B307" s="20" t="s">
        <v>631</v>
      </c>
      <c r="C307" s="21">
        <v>45282.0</v>
      </c>
      <c r="D307" s="21">
        <v>45294.0</v>
      </c>
      <c r="E307" s="9" t="s">
        <v>38</v>
      </c>
      <c r="F307" s="8">
        <v>0.6</v>
      </c>
      <c r="G307" s="8">
        <v>51.0</v>
      </c>
      <c r="H307" s="9">
        <v>0.0</v>
      </c>
      <c r="I307" s="8">
        <v>24.0</v>
      </c>
      <c r="J307" s="9" t="s">
        <v>32</v>
      </c>
      <c r="K307" s="9" t="s">
        <v>16</v>
      </c>
      <c r="L307" s="9">
        <v>0.0</v>
      </c>
      <c r="M307" s="22" t="str">
        <f t="shared" si="2"/>
        <v>OK</v>
      </c>
      <c r="N307" s="19">
        <f t="shared" si="3"/>
        <v>0.6</v>
      </c>
      <c r="R307" s="14"/>
      <c r="S307" s="8"/>
      <c r="U307" s="14"/>
      <c r="V307" s="9"/>
    </row>
    <row r="308">
      <c r="A308" s="20" t="s">
        <v>632</v>
      </c>
      <c r="B308" s="20" t="s">
        <v>633</v>
      </c>
      <c r="C308" s="21">
        <v>45051.0</v>
      </c>
      <c r="D308" s="21">
        <v>45063.0</v>
      </c>
      <c r="E308" s="9" t="s">
        <v>22</v>
      </c>
      <c r="F308" s="8">
        <v>1.7</v>
      </c>
      <c r="G308" s="8">
        <v>65.0</v>
      </c>
      <c r="H308" s="9">
        <v>1.0</v>
      </c>
      <c r="I308" s="8">
        <v>28.0</v>
      </c>
      <c r="J308" s="9" t="s">
        <v>32</v>
      </c>
      <c r="K308" s="9" t="s">
        <v>26</v>
      </c>
      <c r="L308" s="9">
        <v>1.0</v>
      </c>
      <c r="M308" s="22" t="str">
        <f t="shared" si="2"/>
        <v>OK</v>
      </c>
      <c r="N308" s="19">
        <f t="shared" si="3"/>
        <v>1.7</v>
      </c>
      <c r="R308" s="14"/>
      <c r="S308" s="8"/>
      <c r="U308" s="14"/>
      <c r="V308" s="9"/>
    </row>
    <row r="309">
      <c r="A309" s="20" t="s">
        <v>634</v>
      </c>
      <c r="B309" s="20" t="s">
        <v>635</v>
      </c>
      <c r="C309" s="21">
        <v>45166.0</v>
      </c>
      <c r="D309" s="21">
        <v>45178.0</v>
      </c>
      <c r="E309" s="9" t="s">
        <v>29</v>
      </c>
      <c r="F309" s="8">
        <v>4.4</v>
      </c>
      <c r="G309" s="8">
        <v>48.0</v>
      </c>
      <c r="H309" s="9">
        <v>1.0</v>
      </c>
      <c r="I309" s="8">
        <v>16.0</v>
      </c>
      <c r="J309" s="9" t="s">
        <v>23</v>
      </c>
      <c r="K309" s="9" t="s">
        <v>47</v>
      </c>
      <c r="L309" s="9">
        <v>1.0</v>
      </c>
      <c r="M309" s="22" t="str">
        <f t="shared" si="2"/>
        <v>OK</v>
      </c>
      <c r="N309" s="19">
        <f t="shared" si="3"/>
        <v>4.4</v>
      </c>
      <c r="R309" s="14"/>
      <c r="S309" s="8"/>
      <c r="U309" s="14"/>
      <c r="V309" s="9"/>
    </row>
    <row r="310">
      <c r="A310" s="20" t="s">
        <v>636</v>
      </c>
      <c r="B310" s="20" t="s">
        <v>637</v>
      </c>
      <c r="C310" s="21">
        <v>45205.0</v>
      </c>
      <c r="D310" s="21">
        <v>45217.0</v>
      </c>
      <c r="E310" s="9" t="s">
        <v>38</v>
      </c>
      <c r="F310" s="8">
        <v>0.6</v>
      </c>
      <c r="G310" s="8">
        <v>42.0</v>
      </c>
      <c r="H310" s="9">
        <v>0.0</v>
      </c>
      <c r="I310" s="8">
        <v>14.0</v>
      </c>
      <c r="J310" s="9" t="s">
        <v>32</v>
      </c>
      <c r="K310" s="9" t="s">
        <v>16</v>
      </c>
      <c r="L310" s="9">
        <v>0.0</v>
      </c>
      <c r="M310" s="22" t="str">
        <f t="shared" si="2"/>
        <v>OK</v>
      </c>
      <c r="N310" s="19">
        <f t="shared" si="3"/>
        <v>0.6</v>
      </c>
      <c r="R310" s="14"/>
      <c r="S310" s="8"/>
      <c r="U310" s="14"/>
      <c r="V310" s="9"/>
    </row>
    <row r="311">
      <c r="A311" s="20" t="s">
        <v>638</v>
      </c>
      <c r="B311" s="20" t="s">
        <v>639</v>
      </c>
      <c r="C311" s="21">
        <v>45085.0</v>
      </c>
      <c r="D311" s="21">
        <v>45097.0</v>
      </c>
      <c r="E311" s="9" t="s">
        <v>38</v>
      </c>
      <c r="F311" s="8">
        <v>4.9</v>
      </c>
      <c r="G311" s="8">
        <v>82.0</v>
      </c>
      <c r="H311" s="9">
        <v>0.0</v>
      </c>
      <c r="I311" s="8">
        <v>33.0</v>
      </c>
      <c r="J311" s="9" t="s">
        <v>19</v>
      </c>
      <c r="K311" s="9" t="s">
        <v>47</v>
      </c>
      <c r="L311" s="9">
        <v>1.0</v>
      </c>
      <c r="M311" s="22" t="str">
        <f t="shared" si="2"/>
        <v>OK</v>
      </c>
      <c r="N311" s="19">
        <f t="shared" si="3"/>
        <v>4.9</v>
      </c>
      <c r="R311" s="14"/>
      <c r="S311" s="8"/>
      <c r="U311" s="14"/>
      <c r="V311" s="9"/>
    </row>
    <row r="312">
      <c r="A312" s="20" t="s">
        <v>640</v>
      </c>
      <c r="B312" s="20" t="s">
        <v>641</v>
      </c>
      <c r="C312" s="21">
        <v>44965.0</v>
      </c>
      <c r="D312" s="21">
        <v>44977.0</v>
      </c>
      <c r="E312" s="9" t="s">
        <v>29</v>
      </c>
      <c r="F312" s="8">
        <v>0.1</v>
      </c>
      <c r="G312" s="8">
        <v>37.0</v>
      </c>
      <c r="H312" s="9">
        <v>0.0</v>
      </c>
      <c r="I312" s="8">
        <v>22.0</v>
      </c>
      <c r="J312" s="9" t="s">
        <v>15</v>
      </c>
      <c r="K312" s="9" t="s">
        <v>26</v>
      </c>
      <c r="L312" s="9">
        <v>1.0</v>
      </c>
      <c r="M312" s="22" t="str">
        <f t="shared" si="2"/>
        <v>OK</v>
      </c>
      <c r="N312" s="19">
        <f t="shared" si="3"/>
        <v>0.1</v>
      </c>
      <c r="R312" s="14"/>
      <c r="S312" s="8"/>
      <c r="U312" s="14"/>
      <c r="V312" s="9"/>
    </row>
    <row r="313">
      <c r="A313" s="20" t="s">
        <v>642</v>
      </c>
      <c r="B313" s="20" t="s">
        <v>643</v>
      </c>
      <c r="C313" s="21">
        <v>45258.0</v>
      </c>
      <c r="D313" s="21">
        <v>45270.0</v>
      </c>
      <c r="E313" s="9" t="s">
        <v>38</v>
      </c>
      <c r="F313" s="8">
        <v>1.2</v>
      </c>
      <c r="G313" s="8">
        <v>74.0</v>
      </c>
      <c r="H313" s="9">
        <v>1.0</v>
      </c>
      <c r="I313" s="8">
        <v>40.0</v>
      </c>
      <c r="J313" s="9" t="s">
        <v>32</v>
      </c>
      <c r="K313" s="9" t="s">
        <v>16</v>
      </c>
      <c r="L313" s="9">
        <v>1.0</v>
      </c>
      <c r="M313" s="22" t="str">
        <f t="shared" si="2"/>
        <v>OK</v>
      </c>
      <c r="N313" s="19">
        <f t="shared" si="3"/>
        <v>1.2</v>
      </c>
      <c r="R313" s="14"/>
      <c r="S313" s="8"/>
      <c r="U313" s="14"/>
      <c r="V313" s="9"/>
    </row>
    <row r="314">
      <c r="A314" s="20" t="s">
        <v>644</v>
      </c>
      <c r="B314" s="20" t="s">
        <v>645</v>
      </c>
      <c r="C314" s="21">
        <v>45235.0</v>
      </c>
      <c r="D314" s="21">
        <v>45247.0</v>
      </c>
      <c r="E314" s="9" t="s">
        <v>29</v>
      </c>
      <c r="F314" s="8">
        <v>1.6</v>
      </c>
      <c r="G314" s="8">
        <v>32.0</v>
      </c>
      <c r="H314" s="9">
        <v>1.0</v>
      </c>
      <c r="I314" s="8">
        <v>17.0</v>
      </c>
      <c r="J314" s="9" t="s">
        <v>23</v>
      </c>
      <c r="K314" s="9" t="s">
        <v>16</v>
      </c>
      <c r="L314" s="9">
        <v>0.0</v>
      </c>
      <c r="M314" s="22" t="str">
        <f t="shared" si="2"/>
        <v>OK</v>
      </c>
      <c r="N314" s="19">
        <f t="shared" si="3"/>
        <v>1.6</v>
      </c>
      <c r="R314" s="14"/>
      <c r="S314" s="8"/>
      <c r="U314" s="14"/>
      <c r="V314" s="9"/>
    </row>
    <row r="315">
      <c r="A315" s="20" t="s">
        <v>646</v>
      </c>
      <c r="B315" s="20" t="s">
        <v>647</v>
      </c>
      <c r="C315" s="21">
        <v>45281.0</v>
      </c>
      <c r="D315" s="21">
        <v>45293.0</v>
      </c>
      <c r="E315" s="9" t="s">
        <v>29</v>
      </c>
      <c r="F315" s="8">
        <v>3.2</v>
      </c>
      <c r="G315" s="8">
        <v>8.0</v>
      </c>
      <c r="H315" s="9">
        <v>1.0</v>
      </c>
      <c r="I315" s="8">
        <v>42.0</v>
      </c>
      <c r="J315" s="9" t="s">
        <v>15</v>
      </c>
      <c r="K315" s="9" t="s">
        <v>16</v>
      </c>
      <c r="L315" s="9">
        <v>1.0</v>
      </c>
      <c r="M315" s="22" t="str">
        <f t="shared" si="2"/>
        <v>OK</v>
      </c>
      <c r="N315" s="19">
        <f t="shared" si="3"/>
        <v>3.2</v>
      </c>
      <c r="R315" s="14"/>
      <c r="S315" s="8"/>
      <c r="U315" s="14"/>
      <c r="V315" s="9"/>
    </row>
    <row r="316">
      <c r="A316" s="20" t="s">
        <v>648</v>
      </c>
      <c r="B316" s="20" t="s">
        <v>649</v>
      </c>
      <c r="C316" s="21">
        <v>45122.0</v>
      </c>
      <c r="D316" s="21">
        <v>45134.0</v>
      </c>
      <c r="E316" s="9" t="s">
        <v>29</v>
      </c>
      <c r="F316" s="8">
        <v>1.0</v>
      </c>
      <c r="G316" s="8">
        <v>44.0</v>
      </c>
      <c r="H316" s="9">
        <v>1.0</v>
      </c>
      <c r="I316" s="8">
        <v>45.0</v>
      </c>
      <c r="J316" s="9" t="s">
        <v>15</v>
      </c>
      <c r="K316" s="9" t="s">
        <v>16</v>
      </c>
      <c r="L316" s="9">
        <v>1.0</v>
      </c>
      <c r="M316" s="22" t="str">
        <f t="shared" si="2"/>
        <v>OK</v>
      </c>
      <c r="N316" s="19">
        <f t="shared" si="3"/>
        <v>1</v>
      </c>
      <c r="R316" s="14"/>
      <c r="S316" s="8"/>
      <c r="U316" s="14"/>
      <c r="V316" s="9"/>
    </row>
    <row r="317">
      <c r="A317" s="20" t="s">
        <v>650</v>
      </c>
      <c r="B317" s="20" t="s">
        <v>651</v>
      </c>
      <c r="C317" s="21">
        <v>45119.0</v>
      </c>
      <c r="D317" s="21">
        <v>45131.0</v>
      </c>
      <c r="E317" s="9" t="s">
        <v>29</v>
      </c>
      <c r="F317" s="8">
        <v>3.4</v>
      </c>
      <c r="G317" s="8">
        <v>78.0</v>
      </c>
      <c r="H317" s="9">
        <v>0.0</v>
      </c>
      <c r="I317" s="8">
        <v>31.0</v>
      </c>
      <c r="J317" s="9" t="s">
        <v>32</v>
      </c>
      <c r="K317" s="9" t="s">
        <v>16</v>
      </c>
      <c r="L317" s="9">
        <v>1.0</v>
      </c>
      <c r="M317" s="22" t="str">
        <f t="shared" si="2"/>
        <v>OK</v>
      </c>
      <c r="N317" s="19">
        <f t="shared" si="3"/>
        <v>3.4</v>
      </c>
      <c r="R317" s="14"/>
      <c r="S317" s="8"/>
      <c r="U317" s="14"/>
      <c r="V317" s="9"/>
    </row>
    <row r="318">
      <c r="A318" s="20" t="s">
        <v>652</v>
      </c>
      <c r="B318" s="20" t="s">
        <v>653</v>
      </c>
      <c r="C318" s="21">
        <v>44933.0</v>
      </c>
      <c r="D318" s="21">
        <v>44945.0</v>
      </c>
      <c r="E318" s="9" t="s">
        <v>22</v>
      </c>
      <c r="F318" s="8">
        <v>2.4</v>
      </c>
      <c r="G318" s="8">
        <v>72.0</v>
      </c>
      <c r="H318" s="9">
        <v>0.0</v>
      </c>
      <c r="I318" s="8">
        <v>56.0</v>
      </c>
      <c r="J318" s="9" t="s">
        <v>15</v>
      </c>
      <c r="K318" s="9" t="s">
        <v>16</v>
      </c>
      <c r="L318" s="9">
        <v>1.0</v>
      </c>
      <c r="M318" s="22" t="str">
        <f t="shared" si="2"/>
        <v>OK</v>
      </c>
      <c r="N318" s="19">
        <f t="shared" si="3"/>
        <v>2.4</v>
      </c>
      <c r="R318" s="14"/>
      <c r="S318" s="8"/>
      <c r="U318" s="14"/>
      <c r="V318" s="9"/>
    </row>
    <row r="319">
      <c r="A319" s="20" t="s">
        <v>654</v>
      </c>
      <c r="B319" s="20" t="s">
        <v>655</v>
      </c>
      <c r="C319" s="21">
        <v>44960.0</v>
      </c>
      <c r="D319" s="21">
        <v>44972.0</v>
      </c>
      <c r="E319" s="9" t="s">
        <v>14</v>
      </c>
      <c r="F319" s="8">
        <v>4.6</v>
      </c>
      <c r="G319" s="8">
        <v>98.0</v>
      </c>
      <c r="H319" s="9">
        <v>1.0</v>
      </c>
      <c r="I319" s="8">
        <v>20.0</v>
      </c>
      <c r="J319" s="9" t="s">
        <v>15</v>
      </c>
      <c r="K319" s="9" t="s">
        <v>26</v>
      </c>
      <c r="L319" s="9">
        <v>1.0</v>
      </c>
      <c r="M319" s="22" t="str">
        <f t="shared" si="2"/>
        <v>OK</v>
      </c>
      <c r="N319" s="19">
        <f t="shared" si="3"/>
        <v>4.6</v>
      </c>
      <c r="R319" s="14"/>
      <c r="S319" s="8"/>
      <c r="U319" s="14"/>
      <c r="V319" s="9"/>
    </row>
    <row r="320">
      <c r="A320" s="20" t="s">
        <v>656</v>
      </c>
      <c r="B320" s="20" t="s">
        <v>657</v>
      </c>
      <c r="C320" s="21">
        <v>45212.0</v>
      </c>
      <c r="D320" s="21">
        <v>45224.0</v>
      </c>
      <c r="E320" s="9" t="s">
        <v>38</v>
      </c>
      <c r="F320" s="8">
        <v>4.8</v>
      </c>
      <c r="G320" s="8">
        <v>34.0</v>
      </c>
      <c r="H320" s="9">
        <v>1.0</v>
      </c>
      <c r="I320" s="8">
        <v>36.0</v>
      </c>
      <c r="J320" s="9" t="s">
        <v>35</v>
      </c>
      <c r="K320" s="9" t="s">
        <v>16</v>
      </c>
      <c r="L320" s="9">
        <v>0.0</v>
      </c>
      <c r="M320" s="22" t="str">
        <f t="shared" si="2"/>
        <v>OK</v>
      </c>
      <c r="N320" s="19">
        <f t="shared" si="3"/>
        <v>4.8</v>
      </c>
      <c r="R320" s="14"/>
      <c r="S320" s="8"/>
      <c r="U320" s="14"/>
      <c r="V320" s="9"/>
    </row>
    <row r="321">
      <c r="A321" s="20" t="s">
        <v>658</v>
      </c>
      <c r="B321" s="20" t="s">
        <v>659</v>
      </c>
      <c r="C321" s="21">
        <v>45268.0</v>
      </c>
      <c r="D321" s="21">
        <v>45280.0</v>
      </c>
      <c r="E321" s="9" t="s">
        <v>22</v>
      </c>
      <c r="F321" s="8">
        <v>1.7</v>
      </c>
      <c r="G321" s="8">
        <v>85.0</v>
      </c>
      <c r="H321" s="9">
        <v>1.0</v>
      </c>
      <c r="I321" s="8">
        <v>46.0</v>
      </c>
      <c r="J321" s="9" t="s">
        <v>32</v>
      </c>
      <c r="K321" s="9" t="s">
        <v>47</v>
      </c>
      <c r="L321" s="9">
        <v>1.0</v>
      </c>
      <c r="M321" s="22" t="str">
        <f t="shared" si="2"/>
        <v>OK</v>
      </c>
      <c r="N321" s="19">
        <f t="shared" si="3"/>
        <v>1.7</v>
      </c>
      <c r="R321" s="14"/>
      <c r="S321" s="8"/>
      <c r="U321" s="14"/>
      <c r="V321" s="9"/>
    </row>
    <row r="322">
      <c r="A322" s="20" t="s">
        <v>660</v>
      </c>
      <c r="B322" s="20" t="s">
        <v>661</v>
      </c>
      <c r="C322" s="21">
        <v>44941.0</v>
      </c>
      <c r="D322" s="21">
        <v>44953.0</v>
      </c>
      <c r="E322" s="9" t="s">
        <v>29</v>
      </c>
      <c r="F322" s="8">
        <v>4.2</v>
      </c>
      <c r="G322" s="8">
        <v>79.0</v>
      </c>
      <c r="H322" s="9">
        <v>1.0</v>
      </c>
      <c r="I322" s="8">
        <v>25.0</v>
      </c>
      <c r="J322" s="9" t="s">
        <v>23</v>
      </c>
      <c r="K322" s="9" t="s">
        <v>16</v>
      </c>
      <c r="L322" s="9">
        <v>1.0</v>
      </c>
      <c r="M322" s="22" t="str">
        <f t="shared" si="2"/>
        <v>OK</v>
      </c>
      <c r="N322" s="19">
        <f t="shared" si="3"/>
        <v>4.2</v>
      </c>
      <c r="R322" s="14"/>
      <c r="S322" s="8"/>
      <c r="U322" s="14"/>
      <c r="V322" s="9"/>
    </row>
    <row r="323">
      <c r="A323" s="20" t="s">
        <v>662</v>
      </c>
      <c r="B323" s="20" t="s">
        <v>663</v>
      </c>
      <c r="C323" s="21">
        <v>45235.0</v>
      </c>
      <c r="D323" s="21">
        <v>45247.0</v>
      </c>
      <c r="E323" s="9" t="s">
        <v>14</v>
      </c>
      <c r="F323" s="8">
        <v>1.3</v>
      </c>
      <c r="G323" s="8">
        <v>6.0</v>
      </c>
      <c r="H323" s="9">
        <v>0.0</v>
      </c>
      <c r="I323" s="8">
        <v>48.0</v>
      </c>
      <c r="J323" s="9" t="s">
        <v>19</v>
      </c>
      <c r="K323" s="9" t="s">
        <v>16</v>
      </c>
      <c r="L323" s="9">
        <v>0.0</v>
      </c>
      <c r="M323" s="22" t="str">
        <f t="shared" si="2"/>
        <v>OK</v>
      </c>
      <c r="N323" s="19">
        <f t="shared" si="3"/>
        <v>1.3</v>
      </c>
      <c r="R323" s="14"/>
      <c r="S323" s="8"/>
      <c r="U323" s="14"/>
      <c r="V323" s="9"/>
    </row>
    <row r="324">
      <c r="A324" s="20" t="s">
        <v>664</v>
      </c>
      <c r="B324" s="20" t="s">
        <v>665</v>
      </c>
      <c r="C324" s="21">
        <v>45013.0</v>
      </c>
      <c r="D324" s="21">
        <v>45025.0</v>
      </c>
      <c r="E324" s="9" t="s">
        <v>22</v>
      </c>
      <c r="F324" s="8">
        <v>3.9</v>
      </c>
      <c r="G324" s="8">
        <v>76.0</v>
      </c>
      <c r="H324" s="9">
        <v>1.0</v>
      </c>
      <c r="I324" s="8">
        <v>13.0</v>
      </c>
      <c r="J324" s="9" t="s">
        <v>32</v>
      </c>
      <c r="K324" s="9" t="s">
        <v>16</v>
      </c>
      <c r="L324" s="9">
        <v>1.0</v>
      </c>
      <c r="M324" s="22" t="str">
        <f t="shared" si="2"/>
        <v>OK</v>
      </c>
      <c r="N324" s="19">
        <f t="shared" si="3"/>
        <v>3.9</v>
      </c>
      <c r="R324" s="14"/>
      <c r="S324" s="8"/>
      <c r="U324" s="14"/>
      <c r="V324" s="9"/>
    </row>
    <row r="325">
      <c r="A325" s="20" t="s">
        <v>666</v>
      </c>
      <c r="B325" s="20" t="s">
        <v>667</v>
      </c>
      <c r="C325" s="21">
        <v>45018.0</v>
      </c>
      <c r="D325" s="21">
        <v>45030.0</v>
      </c>
      <c r="E325" s="9" t="s">
        <v>22</v>
      </c>
      <c r="F325" s="8">
        <v>3.3</v>
      </c>
      <c r="G325" s="8">
        <v>97.0</v>
      </c>
      <c r="H325" s="9">
        <v>0.0</v>
      </c>
      <c r="I325" s="8">
        <v>29.0</v>
      </c>
      <c r="J325" s="9" t="s">
        <v>32</v>
      </c>
      <c r="K325" s="9" t="s">
        <v>16</v>
      </c>
      <c r="L325" s="9">
        <v>1.0</v>
      </c>
      <c r="M325" s="22" t="str">
        <f t="shared" si="2"/>
        <v>OK</v>
      </c>
      <c r="N325" s="19">
        <f t="shared" si="3"/>
        <v>3.3</v>
      </c>
      <c r="R325" s="14"/>
      <c r="S325" s="8"/>
      <c r="U325" s="14"/>
      <c r="V325" s="9"/>
    </row>
    <row r="326">
      <c r="A326" s="20" t="s">
        <v>668</v>
      </c>
      <c r="B326" s="20" t="s">
        <v>669</v>
      </c>
      <c r="C326" s="21">
        <v>45122.0</v>
      </c>
      <c r="D326" s="21">
        <v>45134.0</v>
      </c>
      <c r="E326" s="9" t="s">
        <v>38</v>
      </c>
      <c r="F326" s="8">
        <v>1.8</v>
      </c>
      <c r="G326" s="8">
        <v>47.0</v>
      </c>
      <c r="H326" s="9">
        <v>1.0</v>
      </c>
      <c r="I326" s="8">
        <v>31.0</v>
      </c>
      <c r="J326" s="9" t="s">
        <v>32</v>
      </c>
      <c r="K326" s="9" t="s">
        <v>47</v>
      </c>
      <c r="L326" s="9">
        <v>1.0</v>
      </c>
      <c r="M326" s="22" t="str">
        <f t="shared" si="2"/>
        <v>OK</v>
      </c>
      <c r="N326" s="19">
        <f t="shared" si="3"/>
        <v>1.8</v>
      </c>
      <c r="R326" s="14"/>
      <c r="S326" s="8"/>
      <c r="U326" s="14"/>
      <c r="V326" s="9"/>
    </row>
    <row r="327">
      <c r="A327" s="20" t="s">
        <v>670</v>
      </c>
      <c r="B327" s="20" t="s">
        <v>671</v>
      </c>
      <c r="C327" s="21">
        <v>45277.0</v>
      </c>
      <c r="D327" s="21">
        <v>45289.0</v>
      </c>
      <c r="E327" s="9" t="s">
        <v>38</v>
      </c>
      <c r="F327" s="8">
        <v>0.4</v>
      </c>
      <c r="G327" s="8">
        <v>84.0</v>
      </c>
      <c r="H327" s="9">
        <v>0.0</v>
      </c>
      <c r="I327" s="8">
        <v>44.0</v>
      </c>
      <c r="J327" s="9" t="s">
        <v>32</v>
      </c>
      <c r="K327" s="9" t="s">
        <v>47</v>
      </c>
      <c r="L327" s="9">
        <v>1.0</v>
      </c>
      <c r="M327" s="22" t="str">
        <f t="shared" si="2"/>
        <v>OK</v>
      </c>
      <c r="N327" s="19">
        <f t="shared" si="3"/>
        <v>0.4</v>
      </c>
      <c r="R327" s="14"/>
      <c r="S327" s="8"/>
      <c r="U327" s="14"/>
      <c r="V327" s="9"/>
    </row>
    <row r="328">
      <c r="A328" s="20" t="s">
        <v>672</v>
      </c>
      <c r="B328" s="20" t="s">
        <v>673</v>
      </c>
      <c r="C328" s="21">
        <v>45030.0</v>
      </c>
      <c r="D328" s="21">
        <v>45042.0</v>
      </c>
      <c r="E328" s="9" t="s">
        <v>29</v>
      </c>
      <c r="F328" s="8">
        <v>2.3</v>
      </c>
      <c r="G328" s="8">
        <v>87.0</v>
      </c>
      <c r="H328" s="9">
        <v>1.0</v>
      </c>
      <c r="I328" s="8">
        <v>28.0</v>
      </c>
      <c r="J328" s="9" t="s">
        <v>15</v>
      </c>
      <c r="K328" s="9" t="s">
        <v>16</v>
      </c>
      <c r="L328" s="9">
        <v>1.0</v>
      </c>
      <c r="M328" s="22" t="str">
        <f t="shared" si="2"/>
        <v>OK</v>
      </c>
      <c r="N328" s="19">
        <f t="shared" si="3"/>
        <v>2.3</v>
      </c>
      <c r="R328" s="14"/>
      <c r="S328" s="8"/>
      <c r="U328" s="14"/>
      <c r="V328" s="9"/>
    </row>
    <row r="329">
      <c r="A329" s="20" t="s">
        <v>674</v>
      </c>
      <c r="B329" s="20" t="s">
        <v>675</v>
      </c>
      <c r="C329" s="21">
        <v>45270.0</v>
      </c>
      <c r="D329" s="21">
        <v>45282.0</v>
      </c>
      <c r="E329" s="9" t="s">
        <v>29</v>
      </c>
      <c r="F329" s="8">
        <v>2.1</v>
      </c>
      <c r="G329" s="8">
        <v>88.0</v>
      </c>
      <c r="H329" s="9">
        <v>0.0</v>
      </c>
      <c r="I329" s="8">
        <v>53.0</v>
      </c>
      <c r="J329" s="9" t="s">
        <v>19</v>
      </c>
      <c r="K329" s="9" t="s">
        <v>26</v>
      </c>
      <c r="L329" s="9">
        <v>1.0</v>
      </c>
      <c r="M329" s="22" t="str">
        <f t="shared" si="2"/>
        <v>OK</v>
      </c>
      <c r="N329" s="19">
        <f t="shared" si="3"/>
        <v>2.1</v>
      </c>
      <c r="R329" s="14"/>
      <c r="S329" s="8"/>
      <c r="U329" s="14"/>
      <c r="V329" s="9"/>
    </row>
    <row r="330">
      <c r="A330" s="20" t="s">
        <v>676</v>
      </c>
      <c r="B330" s="20" t="s">
        <v>677</v>
      </c>
      <c r="C330" s="21">
        <v>44951.0</v>
      </c>
      <c r="D330" s="21">
        <v>44963.0</v>
      </c>
      <c r="E330" s="9" t="s">
        <v>29</v>
      </c>
      <c r="F330" s="8">
        <v>4.7</v>
      </c>
      <c r="G330" s="8">
        <v>55.0</v>
      </c>
      <c r="H330" s="9">
        <v>0.0</v>
      </c>
      <c r="I330" s="8">
        <v>40.0</v>
      </c>
      <c r="J330" s="9" t="s">
        <v>19</v>
      </c>
      <c r="K330" s="9" t="s">
        <v>47</v>
      </c>
      <c r="L330" s="9">
        <v>1.0</v>
      </c>
      <c r="M330" s="22" t="str">
        <f t="shared" si="2"/>
        <v>OK</v>
      </c>
      <c r="N330" s="19">
        <f t="shared" si="3"/>
        <v>4.7</v>
      </c>
      <c r="R330" s="14"/>
      <c r="S330" s="8"/>
      <c r="U330" s="14"/>
      <c r="V330" s="9"/>
    </row>
    <row r="331">
      <c r="A331" s="20" t="s">
        <v>678</v>
      </c>
      <c r="B331" s="20" t="s">
        <v>679</v>
      </c>
      <c r="C331" s="21">
        <v>45162.0</v>
      </c>
      <c r="D331" s="21">
        <v>45174.0</v>
      </c>
      <c r="E331" s="9" t="s">
        <v>38</v>
      </c>
      <c r="F331" s="8">
        <v>4.5</v>
      </c>
      <c r="G331" s="8">
        <v>95.0</v>
      </c>
      <c r="H331" s="9">
        <v>0.0</v>
      </c>
      <c r="I331" s="8">
        <v>37.0</v>
      </c>
      <c r="J331" s="9" t="s">
        <v>23</v>
      </c>
      <c r="K331" s="9" t="s">
        <v>47</v>
      </c>
      <c r="L331" s="9">
        <v>0.0</v>
      </c>
      <c r="M331" s="22" t="str">
        <f t="shared" si="2"/>
        <v>OK</v>
      </c>
      <c r="N331" s="19">
        <f t="shared" si="3"/>
        <v>4.5</v>
      </c>
      <c r="R331" s="14"/>
      <c r="S331" s="8"/>
      <c r="U331" s="14"/>
      <c r="V331" s="9"/>
    </row>
    <row r="332">
      <c r="A332" s="20" t="s">
        <v>680</v>
      </c>
      <c r="B332" s="20" t="s">
        <v>681</v>
      </c>
      <c r="C332" s="21">
        <v>44959.0</v>
      </c>
      <c r="D332" s="21">
        <v>44971.0</v>
      </c>
      <c r="E332" s="9" t="s">
        <v>14</v>
      </c>
      <c r="F332" s="8">
        <v>0.8</v>
      </c>
      <c r="G332" s="8">
        <v>19.0</v>
      </c>
      <c r="H332" s="9">
        <v>1.0</v>
      </c>
      <c r="I332" s="8">
        <v>47.0</v>
      </c>
      <c r="J332" s="9" t="s">
        <v>23</v>
      </c>
      <c r="K332" s="9" t="s">
        <v>47</v>
      </c>
      <c r="L332" s="9">
        <v>1.0</v>
      </c>
      <c r="M332" s="22" t="str">
        <f t="shared" si="2"/>
        <v>OK</v>
      </c>
      <c r="N332" s="19">
        <f t="shared" si="3"/>
        <v>0.8</v>
      </c>
      <c r="R332" s="14"/>
      <c r="S332" s="8"/>
      <c r="U332" s="14"/>
      <c r="V332" s="9"/>
    </row>
    <row r="333">
      <c r="A333" s="20" t="s">
        <v>682</v>
      </c>
      <c r="B333" s="20" t="s">
        <v>683</v>
      </c>
      <c r="C333" s="21">
        <v>45169.0</v>
      </c>
      <c r="D333" s="21">
        <v>45181.0</v>
      </c>
      <c r="E333" s="9" t="s">
        <v>14</v>
      </c>
      <c r="F333" s="8">
        <v>2.9</v>
      </c>
      <c r="G333" s="8">
        <v>15.0</v>
      </c>
      <c r="H333" s="9">
        <v>0.0</v>
      </c>
      <c r="I333" s="8">
        <v>16.0</v>
      </c>
      <c r="J333" s="9" t="s">
        <v>15</v>
      </c>
      <c r="K333" s="9" t="s">
        <v>47</v>
      </c>
      <c r="L333" s="9">
        <v>1.0</v>
      </c>
      <c r="M333" s="22" t="str">
        <f t="shared" si="2"/>
        <v>OK</v>
      </c>
      <c r="N333" s="19">
        <f t="shared" si="3"/>
        <v>2.9</v>
      </c>
      <c r="R333" s="14"/>
      <c r="S333" s="8"/>
      <c r="U333" s="14"/>
      <c r="V333" s="9"/>
    </row>
    <row r="334">
      <c r="A334" s="20" t="s">
        <v>684</v>
      </c>
      <c r="B334" s="20" t="s">
        <v>685</v>
      </c>
      <c r="C334" s="21">
        <v>45208.0</v>
      </c>
      <c r="D334" s="21">
        <v>45220.0</v>
      </c>
      <c r="E334" s="9" t="s">
        <v>38</v>
      </c>
      <c r="F334" s="8">
        <v>2.0</v>
      </c>
      <c r="G334" s="8">
        <v>86.0</v>
      </c>
      <c r="H334" s="9">
        <v>0.0</v>
      </c>
      <c r="I334" s="8">
        <v>49.0</v>
      </c>
      <c r="J334" s="9" t="s">
        <v>19</v>
      </c>
      <c r="K334" s="9" t="s">
        <v>26</v>
      </c>
      <c r="L334" s="9">
        <v>1.0</v>
      </c>
      <c r="M334" s="22" t="str">
        <f t="shared" si="2"/>
        <v>OK</v>
      </c>
      <c r="N334" s="19">
        <f t="shared" si="3"/>
        <v>2</v>
      </c>
      <c r="R334" s="14"/>
      <c r="S334" s="8"/>
      <c r="U334" s="14"/>
      <c r="V334" s="9"/>
    </row>
    <row r="335">
      <c r="A335" s="20" t="s">
        <v>686</v>
      </c>
      <c r="B335" s="20" t="s">
        <v>687</v>
      </c>
      <c r="C335" s="21">
        <v>45256.0</v>
      </c>
      <c r="D335" s="21">
        <v>45268.0</v>
      </c>
      <c r="E335" s="9" t="s">
        <v>22</v>
      </c>
      <c r="F335" s="8">
        <v>1.4</v>
      </c>
      <c r="G335" s="8">
        <v>99.0</v>
      </c>
      <c r="H335" s="9">
        <v>0.0</v>
      </c>
      <c r="I335" s="8">
        <v>41.0</v>
      </c>
      <c r="J335" s="9" t="s">
        <v>32</v>
      </c>
      <c r="K335" s="9" t="s">
        <v>16</v>
      </c>
      <c r="L335" s="9">
        <v>1.0</v>
      </c>
      <c r="M335" s="22" t="str">
        <f t="shared" si="2"/>
        <v>OK</v>
      </c>
      <c r="N335" s="19">
        <f t="shared" si="3"/>
        <v>1.4</v>
      </c>
      <c r="R335" s="14"/>
      <c r="S335" s="8"/>
      <c r="U335" s="14"/>
      <c r="V335" s="9"/>
    </row>
    <row r="336">
      <c r="A336" s="20" t="s">
        <v>688</v>
      </c>
      <c r="B336" s="20" t="s">
        <v>689</v>
      </c>
      <c r="C336" s="21">
        <v>45284.0</v>
      </c>
      <c r="D336" s="21">
        <v>45296.0</v>
      </c>
      <c r="E336" s="9" t="s">
        <v>22</v>
      </c>
      <c r="F336" s="8">
        <v>2.6</v>
      </c>
      <c r="G336" s="8">
        <v>70.0</v>
      </c>
      <c r="H336" s="9">
        <v>1.0</v>
      </c>
      <c r="I336" s="8">
        <v>50.0</v>
      </c>
      <c r="J336" s="9" t="s">
        <v>35</v>
      </c>
      <c r="K336" s="9" t="s">
        <v>16</v>
      </c>
      <c r="L336" s="9">
        <v>1.0</v>
      </c>
      <c r="M336" s="22" t="str">
        <f t="shared" si="2"/>
        <v>OK</v>
      </c>
      <c r="N336" s="19">
        <f t="shared" si="3"/>
        <v>2.6</v>
      </c>
      <c r="R336" s="14"/>
      <c r="S336" s="8"/>
      <c r="U336" s="14"/>
      <c r="V336" s="9"/>
    </row>
    <row r="337">
      <c r="A337" s="20" t="s">
        <v>690</v>
      </c>
      <c r="B337" s="20" t="s">
        <v>691</v>
      </c>
      <c r="C337" s="21">
        <v>45291.0</v>
      </c>
      <c r="D337" s="21">
        <v>45303.0</v>
      </c>
      <c r="E337" s="9" t="s">
        <v>29</v>
      </c>
      <c r="F337" s="8">
        <v>0.7</v>
      </c>
      <c r="G337" s="8">
        <v>9.0</v>
      </c>
      <c r="H337" s="9">
        <v>1.0</v>
      </c>
      <c r="I337" s="8">
        <v>17.0</v>
      </c>
      <c r="J337" s="9" t="s">
        <v>35</v>
      </c>
      <c r="K337" s="9" t="s">
        <v>47</v>
      </c>
      <c r="L337" s="9">
        <v>1.0</v>
      </c>
      <c r="M337" s="22" t="str">
        <f t="shared" si="2"/>
        <v>OK</v>
      </c>
      <c r="N337" s="19">
        <f t="shared" si="3"/>
        <v>0.7</v>
      </c>
      <c r="R337" s="14"/>
      <c r="S337" s="8"/>
      <c r="U337" s="14"/>
      <c r="V337" s="9"/>
    </row>
    <row r="338">
      <c r="A338" s="20" t="s">
        <v>692</v>
      </c>
      <c r="B338" s="20" t="s">
        <v>693</v>
      </c>
      <c r="C338" s="21">
        <v>45072.0</v>
      </c>
      <c r="D338" s="21">
        <v>45084.0</v>
      </c>
      <c r="E338" s="9" t="s">
        <v>22</v>
      </c>
      <c r="F338" s="8">
        <v>3.8</v>
      </c>
      <c r="G338" s="8">
        <v>41.0</v>
      </c>
      <c r="H338" s="9">
        <v>1.0</v>
      </c>
      <c r="I338" s="8">
        <v>38.0</v>
      </c>
      <c r="J338" s="9" t="s">
        <v>19</v>
      </c>
      <c r="K338" s="9" t="s">
        <v>16</v>
      </c>
      <c r="L338" s="9">
        <v>1.0</v>
      </c>
      <c r="M338" s="22" t="str">
        <f t="shared" si="2"/>
        <v>OK</v>
      </c>
      <c r="N338" s="19">
        <f t="shared" si="3"/>
        <v>3.8</v>
      </c>
      <c r="R338" s="14"/>
      <c r="S338" s="8"/>
      <c r="U338" s="14"/>
      <c r="V338" s="9"/>
    </row>
    <row r="339">
      <c r="A339" s="20" t="s">
        <v>694</v>
      </c>
      <c r="B339" s="20" t="s">
        <v>695</v>
      </c>
      <c r="C339" s="21">
        <v>45078.0</v>
      </c>
      <c r="D339" s="21">
        <v>45090.0</v>
      </c>
      <c r="E339" s="9" t="s">
        <v>29</v>
      </c>
      <c r="F339" s="8">
        <v>2.2</v>
      </c>
      <c r="G339" s="8">
        <v>5.0</v>
      </c>
      <c r="H339" s="9">
        <v>0.0</v>
      </c>
      <c r="I339" s="8">
        <v>24.0</v>
      </c>
      <c r="J339" s="9" t="s">
        <v>15</v>
      </c>
      <c r="K339" s="9" t="s">
        <v>16</v>
      </c>
      <c r="L339" s="9">
        <v>0.0</v>
      </c>
      <c r="M339" s="22" t="str">
        <f t="shared" si="2"/>
        <v>OK</v>
      </c>
      <c r="N339" s="19">
        <f t="shared" si="3"/>
        <v>2.2</v>
      </c>
      <c r="R339" s="14"/>
      <c r="S339" s="8"/>
      <c r="U339" s="14"/>
      <c r="V339" s="9"/>
    </row>
    <row r="340">
      <c r="A340" s="20" t="s">
        <v>696</v>
      </c>
      <c r="B340" s="20" t="s">
        <v>697</v>
      </c>
      <c r="C340" s="21">
        <v>45218.0</v>
      </c>
      <c r="D340" s="21">
        <v>45230.0</v>
      </c>
      <c r="E340" s="9" t="s">
        <v>22</v>
      </c>
      <c r="F340" s="8">
        <v>2.7</v>
      </c>
      <c r="G340" s="8">
        <v>11.0</v>
      </c>
      <c r="H340" s="9">
        <v>0.0</v>
      </c>
      <c r="I340" s="8">
        <v>35.0</v>
      </c>
      <c r="J340" s="9" t="s">
        <v>32</v>
      </c>
      <c r="K340" s="9" t="s">
        <v>47</v>
      </c>
      <c r="L340" s="9">
        <v>1.0</v>
      </c>
      <c r="M340" s="22" t="str">
        <f t="shared" si="2"/>
        <v>OK</v>
      </c>
      <c r="N340" s="19">
        <f t="shared" si="3"/>
        <v>2.7</v>
      </c>
      <c r="R340" s="14"/>
      <c r="S340" s="8"/>
      <c r="U340" s="14"/>
      <c r="V340" s="9"/>
    </row>
    <row r="341">
      <c r="A341" s="20" t="s">
        <v>698</v>
      </c>
      <c r="B341" s="20" t="s">
        <v>699</v>
      </c>
      <c r="C341" s="21">
        <v>45218.0</v>
      </c>
      <c r="D341" s="21">
        <v>45230.0</v>
      </c>
      <c r="E341" s="9" t="s">
        <v>29</v>
      </c>
      <c r="F341" s="8">
        <v>0.9</v>
      </c>
      <c r="G341" s="8">
        <v>96.0</v>
      </c>
      <c r="H341" s="9">
        <v>0.0</v>
      </c>
      <c r="I341" s="8">
        <v>51.0</v>
      </c>
      <c r="J341" s="9" t="s">
        <v>32</v>
      </c>
      <c r="K341" s="9" t="s">
        <v>26</v>
      </c>
      <c r="L341" s="9">
        <v>1.0</v>
      </c>
      <c r="M341" s="22" t="str">
        <f t="shared" si="2"/>
        <v>OK</v>
      </c>
      <c r="N341" s="19">
        <f t="shared" si="3"/>
        <v>0.9</v>
      </c>
      <c r="R341" s="14"/>
      <c r="S341" s="8"/>
      <c r="U341" s="14"/>
      <c r="V341" s="9"/>
    </row>
    <row r="342">
      <c r="A342" s="20" t="s">
        <v>700</v>
      </c>
      <c r="B342" s="20" t="s">
        <v>701</v>
      </c>
      <c r="C342" s="21">
        <v>45089.0</v>
      </c>
      <c r="D342" s="21">
        <v>45101.0</v>
      </c>
      <c r="E342" s="9" t="s">
        <v>29</v>
      </c>
      <c r="F342" s="8">
        <v>0.0</v>
      </c>
      <c r="G342" s="8">
        <v>59.0</v>
      </c>
      <c r="H342" s="9">
        <v>0.0</v>
      </c>
      <c r="I342" s="8">
        <v>22.0</v>
      </c>
      <c r="J342" s="9" t="s">
        <v>32</v>
      </c>
      <c r="K342" s="9" t="s">
        <v>47</v>
      </c>
      <c r="L342" s="9">
        <v>1.0</v>
      </c>
      <c r="M342" s="22" t="str">
        <f t="shared" si="2"/>
        <v>OK</v>
      </c>
      <c r="N342" s="19">
        <f t="shared" si="3"/>
        <v>0</v>
      </c>
      <c r="R342" s="14"/>
      <c r="S342" s="8"/>
      <c r="U342" s="14"/>
      <c r="V342" s="9"/>
    </row>
    <row r="343">
      <c r="A343" s="20" t="s">
        <v>702</v>
      </c>
      <c r="B343" s="20" t="s">
        <v>703</v>
      </c>
      <c r="C343" s="21">
        <v>45011.0</v>
      </c>
      <c r="D343" s="21">
        <v>45023.0</v>
      </c>
      <c r="E343" s="9" t="s">
        <v>29</v>
      </c>
      <c r="F343" s="8">
        <v>0.3</v>
      </c>
      <c r="G343" s="8">
        <v>27.0</v>
      </c>
      <c r="H343" s="9">
        <v>1.0</v>
      </c>
      <c r="I343" s="8">
        <v>32.0</v>
      </c>
      <c r="J343" s="9" t="s">
        <v>23</v>
      </c>
      <c r="K343" s="9" t="s">
        <v>47</v>
      </c>
      <c r="L343" s="9">
        <v>1.0</v>
      </c>
      <c r="M343" s="22" t="str">
        <f t="shared" si="2"/>
        <v>OK</v>
      </c>
      <c r="N343" s="19">
        <f t="shared" si="3"/>
        <v>0.3</v>
      </c>
      <c r="R343" s="14"/>
      <c r="S343" s="8"/>
      <c r="U343" s="14"/>
      <c r="V343" s="9"/>
    </row>
    <row r="344">
      <c r="A344" s="20" t="s">
        <v>704</v>
      </c>
      <c r="B344" s="20" t="s">
        <v>705</v>
      </c>
      <c r="C344" s="21">
        <v>45203.0</v>
      </c>
      <c r="D344" s="21">
        <v>45215.0</v>
      </c>
      <c r="E344" s="9" t="s">
        <v>29</v>
      </c>
      <c r="F344" s="8">
        <v>5.0</v>
      </c>
      <c r="G344" s="8">
        <v>20.0</v>
      </c>
      <c r="H344" s="9">
        <v>0.0</v>
      </c>
      <c r="I344" s="8">
        <v>19.0</v>
      </c>
      <c r="J344" s="9" t="s">
        <v>23</v>
      </c>
      <c r="K344" s="9" t="s">
        <v>16</v>
      </c>
      <c r="L344" s="9">
        <v>1.0</v>
      </c>
      <c r="M344" s="22" t="str">
        <f t="shared" si="2"/>
        <v>OK</v>
      </c>
      <c r="N344" s="19">
        <f t="shared" si="3"/>
        <v>5</v>
      </c>
      <c r="R344" s="14"/>
      <c r="S344" s="8"/>
      <c r="U344" s="14"/>
      <c r="V344" s="9"/>
    </row>
    <row r="345">
      <c r="A345" s="20" t="s">
        <v>706</v>
      </c>
      <c r="B345" s="20" t="s">
        <v>707</v>
      </c>
      <c r="C345" s="21">
        <v>45189.0</v>
      </c>
      <c r="D345" s="21">
        <v>45201.0</v>
      </c>
      <c r="E345" s="9" t="s">
        <v>14</v>
      </c>
      <c r="F345" s="8">
        <v>4.0</v>
      </c>
      <c r="G345" s="8">
        <v>30.0</v>
      </c>
      <c r="H345" s="9">
        <v>1.0</v>
      </c>
      <c r="I345" s="8">
        <v>56.0</v>
      </c>
      <c r="J345" s="9" t="s">
        <v>19</v>
      </c>
      <c r="K345" s="9" t="s">
        <v>16</v>
      </c>
      <c r="L345" s="9">
        <v>0.0</v>
      </c>
      <c r="M345" s="22" t="str">
        <f t="shared" si="2"/>
        <v>OK</v>
      </c>
      <c r="N345" s="19">
        <f t="shared" si="3"/>
        <v>4</v>
      </c>
      <c r="R345" s="14"/>
      <c r="S345" s="8"/>
      <c r="U345" s="14"/>
      <c r="V345" s="9"/>
    </row>
    <row r="346">
      <c r="A346" s="20" t="s">
        <v>708</v>
      </c>
      <c r="B346" s="20" t="s">
        <v>709</v>
      </c>
      <c r="C346" s="21">
        <v>45183.0</v>
      </c>
      <c r="D346" s="21">
        <v>45195.0</v>
      </c>
      <c r="E346" s="9" t="s">
        <v>29</v>
      </c>
      <c r="F346" s="8">
        <v>2.5</v>
      </c>
      <c r="G346" s="8">
        <v>13.0</v>
      </c>
      <c r="H346" s="9">
        <v>0.0</v>
      </c>
      <c r="I346" s="8">
        <v>18.0</v>
      </c>
      <c r="J346" s="9" t="s">
        <v>35</v>
      </c>
      <c r="K346" s="9" t="s">
        <v>26</v>
      </c>
      <c r="L346" s="9">
        <v>0.0</v>
      </c>
      <c r="M346" s="22" t="str">
        <f t="shared" si="2"/>
        <v>OK</v>
      </c>
      <c r="N346" s="19">
        <f t="shared" si="3"/>
        <v>2.5</v>
      </c>
      <c r="R346" s="14"/>
      <c r="S346" s="8"/>
      <c r="U346" s="14"/>
      <c r="V346" s="9"/>
    </row>
    <row r="347">
      <c r="A347" s="20" t="s">
        <v>710</v>
      </c>
      <c r="B347" s="20" t="s">
        <v>711</v>
      </c>
      <c r="C347" s="21">
        <v>45244.0</v>
      </c>
      <c r="D347" s="21">
        <v>45256.0</v>
      </c>
      <c r="E347" s="9" t="s">
        <v>29</v>
      </c>
      <c r="F347" s="8">
        <v>4.1</v>
      </c>
      <c r="G347" s="8">
        <v>54.0</v>
      </c>
      <c r="H347" s="9">
        <v>0.0</v>
      </c>
      <c r="I347" s="8">
        <v>52.0</v>
      </c>
      <c r="J347" s="9" t="s">
        <v>32</v>
      </c>
      <c r="K347" s="9" t="s">
        <v>26</v>
      </c>
      <c r="L347" s="9">
        <v>1.0</v>
      </c>
      <c r="M347" s="22" t="str">
        <f t="shared" si="2"/>
        <v>OK</v>
      </c>
      <c r="N347" s="19">
        <f t="shared" si="3"/>
        <v>4.1</v>
      </c>
      <c r="R347" s="14"/>
      <c r="S347" s="8"/>
      <c r="U347" s="14"/>
      <c r="V347" s="9"/>
    </row>
    <row r="348">
      <c r="A348" s="20" t="s">
        <v>712</v>
      </c>
      <c r="B348" s="20" t="s">
        <v>713</v>
      </c>
      <c r="C348" s="21">
        <v>45163.0</v>
      </c>
      <c r="D348" s="21">
        <v>45175.0</v>
      </c>
      <c r="E348" s="9" t="s">
        <v>38</v>
      </c>
      <c r="F348" s="8">
        <v>1.1</v>
      </c>
      <c r="G348" s="8">
        <v>58.0</v>
      </c>
      <c r="H348" s="9">
        <v>1.0</v>
      </c>
      <c r="I348" s="8">
        <v>43.0</v>
      </c>
      <c r="J348" s="9" t="s">
        <v>23</v>
      </c>
      <c r="K348" s="9" t="s">
        <v>26</v>
      </c>
      <c r="L348" s="9">
        <v>1.0</v>
      </c>
      <c r="M348" s="22" t="str">
        <f t="shared" si="2"/>
        <v>OK</v>
      </c>
      <c r="N348" s="19">
        <f t="shared" si="3"/>
        <v>1.1</v>
      </c>
      <c r="R348" s="14"/>
      <c r="S348" s="8"/>
      <c r="U348" s="14"/>
      <c r="V348" s="9"/>
    </row>
    <row r="349">
      <c r="A349" s="20" t="s">
        <v>714</v>
      </c>
      <c r="B349" s="20" t="s">
        <v>715</v>
      </c>
      <c r="C349" s="21">
        <v>45016.0</v>
      </c>
      <c r="D349" s="21">
        <v>45028.0</v>
      </c>
      <c r="E349" s="9" t="s">
        <v>29</v>
      </c>
      <c r="F349" s="8">
        <v>3.7</v>
      </c>
      <c r="G349" s="8">
        <v>63.0</v>
      </c>
      <c r="H349" s="9">
        <v>1.0</v>
      </c>
      <c r="I349" s="8">
        <v>26.0</v>
      </c>
      <c r="J349" s="9" t="s">
        <v>19</v>
      </c>
      <c r="K349" s="9" t="s">
        <v>26</v>
      </c>
      <c r="L349" s="9">
        <v>0.0</v>
      </c>
      <c r="M349" s="22" t="str">
        <f t="shared" si="2"/>
        <v>OK</v>
      </c>
      <c r="N349" s="19">
        <f t="shared" si="3"/>
        <v>3.7</v>
      </c>
      <c r="R349" s="14"/>
      <c r="S349" s="8"/>
      <c r="U349" s="14"/>
      <c r="V349" s="9"/>
    </row>
    <row r="350">
      <c r="A350" s="20" t="s">
        <v>716</v>
      </c>
      <c r="B350" s="20" t="s">
        <v>717</v>
      </c>
      <c r="C350" s="21">
        <v>45285.0</v>
      </c>
      <c r="D350" s="21">
        <v>45297.0</v>
      </c>
      <c r="E350" s="9" t="s">
        <v>38</v>
      </c>
      <c r="F350" s="8">
        <v>3.0</v>
      </c>
      <c r="G350" s="8">
        <v>60.0</v>
      </c>
      <c r="H350" s="9">
        <v>1.0</v>
      </c>
      <c r="I350" s="8">
        <v>15.0</v>
      </c>
      <c r="J350" s="9" t="s">
        <v>23</v>
      </c>
      <c r="K350" s="9" t="s">
        <v>47</v>
      </c>
      <c r="L350" s="9">
        <v>1.0</v>
      </c>
      <c r="M350" s="22" t="str">
        <f t="shared" si="2"/>
        <v>OK</v>
      </c>
      <c r="N350" s="19">
        <f t="shared" si="3"/>
        <v>3</v>
      </c>
      <c r="R350" s="14"/>
      <c r="S350" s="8"/>
      <c r="U350" s="14"/>
      <c r="V350" s="9"/>
    </row>
    <row r="351">
      <c r="A351" s="20" t="s">
        <v>718</v>
      </c>
      <c r="B351" s="20" t="s">
        <v>719</v>
      </c>
      <c r="C351" s="21">
        <v>44998.0</v>
      </c>
      <c r="D351" s="21">
        <v>45010.0</v>
      </c>
      <c r="E351" s="9" t="s">
        <v>14</v>
      </c>
      <c r="F351" s="8">
        <v>0.2</v>
      </c>
      <c r="G351" s="8">
        <v>52.0</v>
      </c>
      <c r="H351" s="9">
        <v>0.0</v>
      </c>
      <c r="I351" s="8">
        <v>27.0</v>
      </c>
      <c r="J351" s="9" t="s">
        <v>32</v>
      </c>
      <c r="K351" s="9" t="s">
        <v>26</v>
      </c>
      <c r="L351" s="9">
        <v>1.0</v>
      </c>
      <c r="M351" s="22" t="str">
        <f t="shared" si="2"/>
        <v>OK</v>
      </c>
      <c r="N351" s="19">
        <f t="shared" si="3"/>
        <v>0.2</v>
      </c>
      <c r="R351" s="14"/>
      <c r="S351" s="8"/>
      <c r="U351" s="14"/>
      <c r="V351" s="9"/>
    </row>
    <row r="352">
      <c r="A352" s="20" t="s">
        <v>720</v>
      </c>
      <c r="B352" s="20" t="s">
        <v>721</v>
      </c>
      <c r="C352" s="21">
        <v>45189.0</v>
      </c>
      <c r="D352" s="21">
        <v>45201.0</v>
      </c>
      <c r="E352" s="9" t="s">
        <v>22</v>
      </c>
      <c r="F352" s="8">
        <v>4.3</v>
      </c>
      <c r="G352" s="8">
        <v>90.0</v>
      </c>
      <c r="H352" s="9">
        <v>0.0</v>
      </c>
      <c r="I352" s="8">
        <v>21.0</v>
      </c>
      <c r="J352" s="9" t="s">
        <v>19</v>
      </c>
      <c r="K352" s="9" t="s">
        <v>26</v>
      </c>
      <c r="L352" s="9">
        <v>1.0</v>
      </c>
      <c r="M352" s="22" t="str">
        <f t="shared" si="2"/>
        <v>OK</v>
      </c>
      <c r="N352" s="19">
        <f t="shared" si="3"/>
        <v>4.3</v>
      </c>
      <c r="R352" s="14"/>
      <c r="S352" s="8"/>
      <c r="U352" s="14"/>
      <c r="V352" s="9"/>
    </row>
    <row r="353">
      <c r="A353" s="20" t="s">
        <v>722</v>
      </c>
      <c r="B353" s="20" t="s">
        <v>723</v>
      </c>
      <c r="C353" s="21">
        <v>45148.0</v>
      </c>
      <c r="D353" s="21">
        <v>45160.0</v>
      </c>
      <c r="E353" s="9" t="s">
        <v>14</v>
      </c>
      <c r="F353" s="8">
        <v>2.8</v>
      </c>
      <c r="G353" s="8">
        <v>93.0</v>
      </c>
      <c r="H353" s="9">
        <v>0.0</v>
      </c>
      <c r="I353" s="8">
        <v>14.0</v>
      </c>
      <c r="J353" s="9" t="s">
        <v>15</v>
      </c>
      <c r="K353" s="9" t="s">
        <v>26</v>
      </c>
      <c r="L353" s="9">
        <v>1.0</v>
      </c>
      <c r="M353" s="22" t="str">
        <f t="shared" si="2"/>
        <v>OK</v>
      </c>
      <c r="N353" s="19">
        <f t="shared" si="3"/>
        <v>2.8</v>
      </c>
      <c r="R353" s="14"/>
      <c r="S353" s="8"/>
      <c r="U353" s="14"/>
      <c r="V353" s="9"/>
    </row>
    <row r="354">
      <c r="A354" s="20" t="s">
        <v>724</v>
      </c>
      <c r="B354" s="20" t="s">
        <v>725</v>
      </c>
      <c r="C354" s="21">
        <v>45084.0</v>
      </c>
      <c r="D354" s="21">
        <v>45096.0</v>
      </c>
      <c r="E354" s="9" t="s">
        <v>14</v>
      </c>
      <c r="F354" s="8">
        <v>3.1</v>
      </c>
      <c r="G354" s="8">
        <v>80.0</v>
      </c>
      <c r="H354" s="9">
        <v>1.0</v>
      </c>
      <c r="I354" s="8">
        <v>30.0</v>
      </c>
      <c r="J354" s="9" t="s">
        <v>32</v>
      </c>
      <c r="K354" s="9" t="s">
        <v>26</v>
      </c>
      <c r="L354" s="9">
        <v>1.0</v>
      </c>
      <c r="M354" s="22" t="str">
        <f t="shared" si="2"/>
        <v>OK</v>
      </c>
      <c r="N354" s="19">
        <f t="shared" si="3"/>
        <v>3.1</v>
      </c>
      <c r="R354" s="14"/>
      <c r="S354" s="8"/>
      <c r="U354" s="14"/>
      <c r="V354" s="9"/>
    </row>
    <row r="355">
      <c r="A355" s="20" t="s">
        <v>726</v>
      </c>
      <c r="B355" s="20" t="s">
        <v>727</v>
      </c>
      <c r="C355" s="21">
        <v>45030.0</v>
      </c>
      <c r="D355" s="21">
        <v>45042.0</v>
      </c>
      <c r="E355" s="9" t="s">
        <v>38</v>
      </c>
      <c r="F355" s="8">
        <v>3.6</v>
      </c>
      <c r="G355" s="8">
        <v>33.0</v>
      </c>
      <c r="H355" s="9">
        <v>0.0</v>
      </c>
      <c r="I355" s="8">
        <v>42.0</v>
      </c>
      <c r="J355" s="9" t="s">
        <v>19</v>
      </c>
      <c r="K355" s="9" t="s">
        <v>26</v>
      </c>
      <c r="L355" s="9">
        <v>1.0</v>
      </c>
      <c r="M355" s="22" t="str">
        <f t="shared" si="2"/>
        <v>OK</v>
      </c>
      <c r="N355" s="19">
        <f t="shared" si="3"/>
        <v>3.6</v>
      </c>
      <c r="R355" s="14"/>
      <c r="S355" s="8"/>
      <c r="U355" s="14"/>
      <c r="V355" s="9"/>
    </row>
    <row r="356">
      <c r="A356" s="20" t="s">
        <v>728</v>
      </c>
      <c r="B356" s="20" t="s">
        <v>729</v>
      </c>
      <c r="C356" s="21">
        <v>44946.0</v>
      </c>
      <c r="D356" s="21">
        <v>44958.0</v>
      </c>
      <c r="E356" s="9" t="s">
        <v>22</v>
      </c>
      <c r="F356" s="8">
        <v>3.5</v>
      </c>
      <c r="G356" s="8">
        <v>49.0</v>
      </c>
      <c r="H356" s="9">
        <v>1.0</v>
      </c>
      <c r="I356" s="8">
        <v>34.0</v>
      </c>
      <c r="J356" s="9" t="s">
        <v>19</v>
      </c>
      <c r="K356" s="9" t="s">
        <v>16</v>
      </c>
      <c r="L356" s="9">
        <v>1.0</v>
      </c>
      <c r="M356" s="22" t="str">
        <f t="shared" si="2"/>
        <v>OK</v>
      </c>
      <c r="N356" s="19">
        <f t="shared" si="3"/>
        <v>3.5</v>
      </c>
      <c r="R356" s="14"/>
      <c r="S356" s="8"/>
      <c r="U356" s="14"/>
      <c r="V356" s="9"/>
    </row>
    <row r="357">
      <c r="A357" s="20" t="s">
        <v>730</v>
      </c>
      <c r="B357" s="20" t="s">
        <v>731</v>
      </c>
      <c r="C357" s="21">
        <v>44974.0</v>
      </c>
      <c r="D357" s="21">
        <v>44986.0</v>
      </c>
      <c r="E357" s="9" t="s">
        <v>38</v>
      </c>
      <c r="F357" s="8">
        <v>1.5</v>
      </c>
      <c r="G357" s="8">
        <v>64.0</v>
      </c>
      <c r="H357" s="9">
        <v>1.0</v>
      </c>
      <c r="I357" s="8">
        <v>39.0</v>
      </c>
      <c r="J357" s="9" t="s">
        <v>32</v>
      </c>
      <c r="K357" s="9" t="s">
        <v>47</v>
      </c>
      <c r="L357" s="9">
        <v>0.0</v>
      </c>
      <c r="M357" s="22" t="str">
        <f t="shared" si="2"/>
        <v>OK</v>
      </c>
      <c r="N357" s="19">
        <f t="shared" si="3"/>
        <v>1.5</v>
      </c>
      <c r="R357" s="14"/>
      <c r="S357" s="8"/>
      <c r="U357" s="14"/>
      <c r="V357" s="9"/>
    </row>
    <row r="358">
      <c r="A358" s="20" t="s">
        <v>732</v>
      </c>
      <c r="B358" s="20" t="s">
        <v>733</v>
      </c>
      <c r="C358" s="21">
        <v>44994.0</v>
      </c>
      <c r="D358" s="21">
        <v>45006.0</v>
      </c>
      <c r="E358" s="9" t="s">
        <v>14</v>
      </c>
      <c r="F358" s="8">
        <v>0.5</v>
      </c>
      <c r="G358" s="8">
        <v>16.0</v>
      </c>
      <c r="H358" s="9">
        <v>1.0</v>
      </c>
      <c r="I358" s="8">
        <v>23.0</v>
      </c>
      <c r="J358" s="9" t="s">
        <v>35</v>
      </c>
      <c r="K358" s="9" t="s">
        <v>26</v>
      </c>
      <c r="L358" s="9">
        <v>0.0</v>
      </c>
      <c r="M358" s="22" t="str">
        <f t="shared" si="2"/>
        <v>OK</v>
      </c>
      <c r="N358" s="19">
        <f t="shared" si="3"/>
        <v>0.5</v>
      </c>
      <c r="R358" s="14"/>
      <c r="S358" s="8"/>
      <c r="U358" s="14"/>
      <c r="V358" s="9"/>
    </row>
    <row r="359">
      <c r="A359" s="20" t="s">
        <v>734</v>
      </c>
      <c r="B359" s="20" t="s">
        <v>735</v>
      </c>
      <c r="C359" s="21">
        <v>45062.0</v>
      </c>
      <c r="D359" s="21">
        <v>45074.0</v>
      </c>
      <c r="E359" s="9" t="s">
        <v>38</v>
      </c>
      <c r="F359" s="8">
        <v>1.9</v>
      </c>
      <c r="G359" s="8">
        <v>18.0</v>
      </c>
      <c r="H359" s="9">
        <v>0.0</v>
      </c>
      <c r="I359" s="8">
        <v>54.0</v>
      </c>
      <c r="J359" s="9" t="s">
        <v>32</v>
      </c>
      <c r="K359" s="9" t="s">
        <v>16</v>
      </c>
      <c r="L359" s="9">
        <v>0.0</v>
      </c>
      <c r="M359" s="22" t="str">
        <f t="shared" si="2"/>
        <v>OK</v>
      </c>
      <c r="N359" s="19">
        <f t="shared" si="3"/>
        <v>1.9</v>
      </c>
      <c r="R359" s="14"/>
      <c r="S359" s="8"/>
      <c r="U359" s="14"/>
      <c r="V359" s="9"/>
    </row>
    <row r="360">
      <c r="A360" s="20" t="s">
        <v>736</v>
      </c>
      <c r="B360" s="20" t="s">
        <v>737</v>
      </c>
      <c r="C360" s="21">
        <v>44983.0</v>
      </c>
      <c r="D360" s="21">
        <v>44995.0</v>
      </c>
      <c r="E360" s="9" t="s">
        <v>14</v>
      </c>
      <c r="F360" s="8">
        <v>4.4</v>
      </c>
      <c r="G360" s="8">
        <v>69.0</v>
      </c>
      <c r="H360" s="9">
        <v>1.0</v>
      </c>
      <c r="I360" s="8">
        <v>12.0</v>
      </c>
      <c r="J360" s="9" t="s">
        <v>35</v>
      </c>
      <c r="K360" s="9" t="s">
        <v>16</v>
      </c>
      <c r="L360" s="9">
        <v>1.0</v>
      </c>
      <c r="M360" s="22" t="str">
        <f t="shared" si="2"/>
        <v>OK</v>
      </c>
      <c r="N360" s="19">
        <f t="shared" si="3"/>
        <v>4.4</v>
      </c>
      <c r="R360" s="14"/>
      <c r="S360" s="8"/>
      <c r="U360" s="14"/>
      <c r="V360" s="9"/>
    </row>
    <row r="361">
      <c r="A361" s="20" t="s">
        <v>738</v>
      </c>
      <c r="B361" s="20" t="s">
        <v>739</v>
      </c>
      <c r="C361" s="21">
        <v>45020.0</v>
      </c>
      <c r="D361" s="21">
        <v>45032.0</v>
      </c>
      <c r="E361" s="9" t="s">
        <v>29</v>
      </c>
      <c r="F361" s="8">
        <v>3.4</v>
      </c>
      <c r="G361" s="8">
        <v>40.0</v>
      </c>
      <c r="H361" s="9">
        <v>0.0</v>
      </c>
      <c r="I361" s="8">
        <v>45.0</v>
      </c>
      <c r="J361" s="9" t="s">
        <v>35</v>
      </c>
      <c r="K361" s="9" t="s">
        <v>47</v>
      </c>
      <c r="L361" s="9">
        <v>1.0</v>
      </c>
      <c r="M361" s="22" t="str">
        <f t="shared" si="2"/>
        <v>OK</v>
      </c>
      <c r="N361" s="19">
        <f t="shared" si="3"/>
        <v>3.4</v>
      </c>
      <c r="R361" s="14"/>
      <c r="S361" s="8"/>
      <c r="U361" s="14"/>
      <c r="V361" s="9"/>
    </row>
    <row r="362">
      <c r="A362" s="20" t="s">
        <v>740</v>
      </c>
      <c r="B362" s="20" t="s">
        <v>741</v>
      </c>
      <c r="C362" s="21">
        <v>45139.0</v>
      </c>
      <c r="D362" s="21">
        <v>45151.0</v>
      </c>
      <c r="E362" s="9" t="s">
        <v>22</v>
      </c>
      <c r="F362" s="8">
        <v>1.1</v>
      </c>
      <c r="G362" s="8">
        <v>38.0</v>
      </c>
      <c r="H362" s="9">
        <v>1.0</v>
      </c>
      <c r="I362" s="8">
        <v>55.0</v>
      </c>
      <c r="J362" s="9" t="s">
        <v>32</v>
      </c>
      <c r="K362" s="9" t="s">
        <v>16</v>
      </c>
      <c r="L362" s="9">
        <v>0.0</v>
      </c>
      <c r="M362" s="22" t="str">
        <f t="shared" si="2"/>
        <v>OK</v>
      </c>
      <c r="N362" s="19">
        <f t="shared" si="3"/>
        <v>1.1</v>
      </c>
      <c r="R362" s="14"/>
      <c r="S362" s="8"/>
      <c r="U362" s="14"/>
      <c r="V362" s="9"/>
    </row>
    <row r="363">
      <c r="A363" s="20" t="s">
        <v>742</v>
      </c>
      <c r="B363" s="20" t="s">
        <v>743</v>
      </c>
      <c r="C363" s="21">
        <v>45255.0</v>
      </c>
      <c r="D363" s="21">
        <v>45267.0</v>
      </c>
      <c r="E363" s="9" t="s">
        <v>29</v>
      </c>
      <c r="F363" s="8">
        <v>1.7</v>
      </c>
      <c r="G363" s="8">
        <v>25.0</v>
      </c>
      <c r="H363" s="9">
        <v>1.0</v>
      </c>
      <c r="I363" s="8">
        <v>33.0</v>
      </c>
      <c r="J363" s="9" t="s">
        <v>35</v>
      </c>
      <c r="K363" s="9" t="s">
        <v>16</v>
      </c>
      <c r="L363" s="9">
        <v>1.0</v>
      </c>
      <c r="M363" s="22" t="str">
        <f t="shared" si="2"/>
        <v>OK</v>
      </c>
      <c r="N363" s="19">
        <f t="shared" si="3"/>
        <v>1.7</v>
      </c>
      <c r="R363" s="14"/>
      <c r="S363" s="8"/>
      <c r="U363" s="14"/>
      <c r="V363" s="9"/>
    </row>
    <row r="364">
      <c r="A364" s="20" t="s">
        <v>744</v>
      </c>
      <c r="B364" s="20" t="s">
        <v>745</v>
      </c>
      <c r="C364" s="21">
        <v>45073.0</v>
      </c>
      <c r="D364" s="21">
        <v>45085.0</v>
      </c>
      <c r="E364" s="9" t="s">
        <v>38</v>
      </c>
      <c r="F364" s="8">
        <v>1.4</v>
      </c>
      <c r="G364" s="8">
        <v>94.0</v>
      </c>
      <c r="H364" s="9">
        <v>0.0</v>
      </c>
      <c r="I364" s="8">
        <v>14.0</v>
      </c>
      <c r="J364" s="9" t="s">
        <v>32</v>
      </c>
      <c r="K364" s="9" t="s">
        <v>26</v>
      </c>
      <c r="L364" s="9">
        <v>1.0</v>
      </c>
      <c r="M364" s="22" t="str">
        <f t="shared" si="2"/>
        <v>OK</v>
      </c>
      <c r="N364" s="19">
        <f t="shared" si="3"/>
        <v>1.4</v>
      </c>
      <c r="R364" s="14"/>
      <c r="S364" s="8"/>
      <c r="U364" s="14"/>
      <c r="V364" s="9"/>
    </row>
    <row r="365">
      <c r="A365" s="20" t="s">
        <v>746</v>
      </c>
      <c r="B365" s="20" t="s">
        <v>747</v>
      </c>
      <c r="C365" s="21">
        <v>45077.0</v>
      </c>
      <c r="D365" s="21">
        <v>45089.0</v>
      </c>
      <c r="E365" s="9" t="s">
        <v>22</v>
      </c>
      <c r="F365" s="8">
        <v>1.0</v>
      </c>
      <c r="G365" s="8">
        <v>89.0</v>
      </c>
      <c r="H365" s="9">
        <v>0.0</v>
      </c>
      <c r="I365" s="8">
        <v>33.0</v>
      </c>
      <c r="J365" s="9" t="s">
        <v>32</v>
      </c>
      <c r="K365" s="9" t="s">
        <v>16</v>
      </c>
      <c r="L365" s="9">
        <v>1.0</v>
      </c>
      <c r="M365" s="22" t="str">
        <f t="shared" si="2"/>
        <v>OK</v>
      </c>
      <c r="N365" s="19">
        <f t="shared" si="3"/>
        <v>1</v>
      </c>
      <c r="R365" s="14"/>
      <c r="S365" s="8"/>
      <c r="U365" s="14"/>
      <c r="V365" s="9"/>
    </row>
    <row r="366">
      <c r="A366" s="20" t="s">
        <v>748</v>
      </c>
      <c r="B366" s="20" t="s">
        <v>749</v>
      </c>
      <c r="C366" s="21">
        <v>44973.0</v>
      </c>
      <c r="D366" s="21">
        <v>44985.0</v>
      </c>
      <c r="E366" s="9" t="s">
        <v>14</v>
      </c>
      <c r="F366" s="8">
        <v>3.2</v>
      </c>
      <c r="G366" s="8">
        <v>73.0</v>
      </c>
      <c r="H366" s="9">
        <v>0.0</v>
      </c>
      <c r="I366" s="8">
        <v>17.0</v>
      </c>
      <c r="J366" s="9" t="s">
        <v>19</v>
      </c>
      <c r="K366" s="9" t="s">
        <v>26</v>
      </c>
      <c r="L366" s="9">
        <v>1.0</v>
      </c>
      <c r="M366" s="22" t="str">
        <f t="shared" si="2"/>
        <v>OK</v>
      </c>
      <c r="N366" s="19">
        <f t="shared" si="3"/>
        <v>3.2</v>
      </c>
      <c r="R366" s="14"/>
      <c r="S366" s="8"/>
      <c r="U366" s="14"/>
      <c r="V366" s="9"/>
    </row>
    <row r="367">
      <c r="A367" s="20" t="s">
        <v>750</v>
      </c>
      <c r="B367" s="20" t="s">
        <v>751</v>
      </c>
      <c r="C367" s="21">
        <v>45222.0</v>
      </c>
      <c r="D367" s="21">
        <v>45234.0</v>
      </c>
      <c r="E367" s="9" t="s">
        <v>29</v>
      </c>
      <c r="F367" s="8">
        <v>4.1</v>
      </c>
      <c r="G367" s="8">
        <v>28.0</v>
      </c>
      <c r="H367" s="9">
        <v>0.0</v>
      </c>
      <c r="I367" s="8">
        <v>49.0</v>
      </c>
      <c r="J367" s="9" t="s">
        <v>19</v>
      </c>
      <c r="K367" s="9" t="s">
        <v>47</v>
      </c>
      <c r="L367" s="9">
        <v>1.0</v>
      </c>
      <c r="M367" s="22" t="str">
        <f t="shared" si="2"/>
        <v>OK</v>
      </c>
      <c r="N367" s="19">
        <f t="shared" si="3"/>
        <v>4.1</v>
      </c>
      <c r="R367" s="14"/>
      <c r="S367" s="8"/>
      <c r="U367" s="14"/>
      <c r="V367" s="9"/>
    </row>
    <row r="368">
      <c r="A368" s="20" t="s">
        <v>752</v>
      </c>
      <c r="B368" s="20" t="s">
        <v>753</v>
      </c>
      <c r="C368" s="21">
        <v>44983.0</v>
      </c>
      <c r="D368" s="21">
        <v>44995.0</v>
      </c>
      <c r="E368" s="9" t="s">
        <v>38</v>
      </c>
      <c r="F368" s="8">
        <v>4.0</v>
      </c>
      <c r="G368" s="8">
        <v>66.0</v>
      </c>
      <c r="H368" s="9">
        <v>1.0</v>
      </c>
      <c r="I368" s="8">
        <v>25.0</v>
      </c>
      <c r="J368" s="9" t="s">
        <v>35</v>
      </c>
      <c r="K368" s="9" t="s">
        <v>26</v>
      </c>
      <c r="L368" s="9">
        <v>0.0</v>
      </c>
      <c r="M368" s="22" t="str">
        <f t="shared" si="2"/>
        <v>OK</v>
      </c>
      <c r="N368" s="19">
        <f t="shared" si="3"/>
        <v>4</v>
      </c>
      <c r="R368" s="14"/>
      <c r="S368" s="8"/>
      <c r="U368" s="14"/>
      <c r="V368" s="9"/>
    </row>
    <row r="369">
      <c r="A369" s="20" t="s">
        <v>754</v>
      </c>
      <c r="B369" s="20" t="s">
        <v>755</v>
      </c>
      <c r="C369" s="21">
        <v>45089.0</v>
      </c>
      <c r="D369" s="21">
        <v>45101.0</v>
      </c>
      <c r="E369" s="9" t="s">
        <v>22</v>
      </c>
      <c r="F369" s="8">
        <v>3.7</v>
      </c>
      <c r="G369" s="8">
        <v>23.0</v>
      </c>
      <c r="H369" s="9">
        <v>1.0</v>
      </c>
      <c r="I369" s="8">
        <v>39.0</v>
      </c>
      <c r="J369" s="9" t="s">
        <v>32</v>
      </c>
      <c r="K369" s="9" t="s">
        <v>16</v>
      </c>
      <c r="L369" s="9">
        <v>0.0</v>
      </c>
      <c r="M369" s="22" t="str">
        <f t="shared" si="2"/>
        <v>OK</v>
      </c>
      <c r="N369" s="19">
        <f t="shared" si="3"/>
        <v>3.7</v>
      </c>
      <c r="R369" s="14"/>
      <c r="S369" s="8"/>
      <c r="U369" s="14"/>
      <c r="V369" s="9"/>
    </row>
    <row r="370">
      <c r="A370" s="20" t="s">
        <v>756</v>
      </c>
      <c r="B370" s="20" t="s">
        <v>757</v>
      </c>
      <c r="C370" s="21">
        <v>44987.0</v>
      </c>
      <c r="D370" s="21">
        <v>44999.0</v>
      </c>
      <c r="E370" s="9" t="s">
        <v>29</v>
      </c>
      <c r="F370" s="8">
        <v>2.3</v>
      </c>
      <c r="G370" s="8">
        <v>92.0</v>
      </c>
      <c r="H370" s="9">
        <v>0.0</v>
      </c>
      <c r="I370" s="8">
        <v>48.0</v>
      </c>
      <c r="J370" s="9" t="s">
        <v>32</v>
      </c>
      <c r="K370" s="9" t="s">
        <v>26</v>
      </c>
      <c r="L370" s="9">
        <v>0.0</v>
      </c>
      <c r="M370" s="22" t="str">
        <f t="shared" si="2"/>
        <v>OK</v>
      </c>
      <c r="N370" s="19">
        <f t="shared" si="3"/>
        <v>2.3</v>
      </c>
      <c r="R370" s="14"/>
      <c r="S370" s="8"/>
      <c r="U370" s="14"/>
      <c r="V370" s="9"/>
    </row>
    <row r="371">
      <c r="A371" s="20" t="s">
        <v>758</v>
      </c>
      <c r="B371" s="20" t="s">
        <v>759</v>
      </c>
      <c r="C371" s="21">
        <v>45025.0</v>
      </c>
      <c r="D371" s="21">
        <v>45037.0</v>
      </c>
      <c r="E371" s="9" t="s">
        <v>29</v>
      </c>
      <c r="F371" s="8">
        <v>4.2</v>
      </c>
      <c r="G371" s="8">
        <v>45.0</v>
      </c>
      <c r="H371" s="9">
        <v>0.0</v>
      </c>
      <c r="I371" s="8">
        <v>35.0</v>
      </c>
      <c r="J371" s="9" t="s">
        <v>19</v>
      </c>
      <c r="K371" s="9" t="s">
        <v>16</v>
      </c>
      <c r="L371" s="9">
        <v>1.0</v>
      </c>
      <c r="M371" s="22" t="str">
        <f t="shared" si="2"/>
        <v>OK</v>
      </c>
      <c r="N371" s="19">
        <f t="shared" si="3"/>
        <v>4.2</v>
      </c>
      <c r="R371" s="14"/>
      <c r="S371" s="8"/>
      <c r="U371" s="14"/>
      <c r="V371" s="9"/>
    </row>
    <row r="372">
      <c r="A372" s="20" t="s">
        <v>760</v>
      </c>
      <c r="B372" s="20" t="s">
        <v>761</v>
      </c>
      <c r="C372" s="21">
        <v>44955.0</v>
      </c>
      <c r="D372" s="21">
        <v>44967.0</v>
      </c>
      <c r="E372" s="9" t="s">
        <v>29</v>
      </c>
      <c r="F372" s="8">
        <v>0.7</v>
      </c>
      <c r="G372" s="8">
        <v>62.0</v>
      </c>
      <c r="H372" s="9">
        <v>0.0</v>
      </c>
      <c r="I372" s="8">
        <v>15.0</v>
      </c>
      <c r="J372" s="9" t="s">
        <v>23</v>
      </c>
      <c r="K372" s="9" t="s">
        <v>26</v>
      </c>
      <c r="L372" s="9">
        <v>1.0</v>
      </c>
      <c r="M372" s="22" t="str">
        <f t="shared" si="2"/>
        <v>OK</v>
      </c>
      <c r="N372" s="19">
        <f t="shared" si="3"/>
        <v>0.7</v>
      </c>
      <c r="R372" s="14"/>
      <c r="S372" s="8"/>
      <c r="U372" s="14"/>
      <c r="V372" s="9"/>
    </row>
    <row r="373">
      <c r="A373" s="20" t="s">
        <v>762</v>
      </c>
      <c r="B373" s="20" t="s">
        <v>763</v>
      </c>
      <c r="C373" s="21">
        <v>45175.0</v>
      </c>
      <c r="D373" s="21">
        <v>45187.0</v>
      </c>
      <c r="E373" s="9" t="s">
        <v>22</v>
      </c>
      <c r="F373" s="8">
        <v>4.3</v>
      </c>
      <c r="G373" s="8">
        <v>46.0</v>
      </c>
      <c r="H373" s="9">
        <v>1.0</v>
      </c>
      <c r="I373" s="8">
        <v>45.0</v>
      </c>
      <c r="J373" s="9" t="s">
        <v>35</v>
      </c>
      <c r="K373" s="9" t="s">
        <v>26</v>
      </c>
      <c r="L373" s="9">
        <v>0.0</v>
      </c>
      <c r="M373" s="22" t="str">
        <f t="shared" si="2"/>
        <v>OK</v>
      </c>
      <c r="N373" s="19">
        <f t="shared" si="3"/>
        <v>4.3</v>
      </c>
      <c r="R373" s="14"/>
      <c r="S373" s="8"/>
      <c r="U373" s="14"/>
      <c r="V373" s="9"/>
    </row>
    <row r="374">
      <c r="A374" s="20" t="s">
        <v>764</v>
      </c>
      <c r="B374" s="20" t="s">
        <v>765</v>
      </c>
      <c r="C374" s="21">
        <v>44986.0</v>
      </c>
      <c r="D374" s="21">
        <v>44998.0</v>
      </c>
      <c r="E374" s="9" t="s">
        <v>29</v>
      </c>
      <c r="F374" s="8">
        <v>2.2</v>
      </c>
      <c r="G374" s="8">
        <v>39.0</v>
      </c>
      <c r="H374" s="9">
        <v>1.0</v>
      </c>
      <c r="I374" s="8">
        <v>44.0</v>
      </c>
      <c r="J374" s="9" t="s">
        <v>23</v>
      </c>
      <c r="K374" s="9" t="s">
        <v>16</v>
      </c>
      <c r="L374" s="9">
        <v>1.0</v>
      </c>
      <c r="M374" s="22" t="str">
        <f t="shared" si="2"/>
        <v>OK</v>
      </c>
      <c r="N374" s="19">
        <f t="shared" si="3"/>
        <v>2.2</v>
      </c>
      <c r="R374" s="14"/>
      <c r="S374" s="8"/>
      <c r="U374" s="14"/>
      <c r="V374" s="9"/>
    </row>
    <row r="375">
      <c r="A375" s="20" t="s">
        <v>766</v>
      </c>
      <c r="B375" s="20" t="s">
        <v>767</v>
      </c>
      <c r="C375" s="21">
        <v>44940.0</v>
      </c>
      <c r="D375" s="21">
        <v>44952.0</v>
      </c>
      <c r="E375" s="9" t="s">
        <v>14</v>
      </c>
      <c r="F375" s="8">
        <v>3.6</v>
      </c>
      <c r="G375" s="8">
        <v>24.0</v>
      </c>
      <c r="H375" s="9">
        <v>0.0</v>
      </c>
      <c r="I375" s="8">
        <v>38.0</v>
      </c>
      <c r="J375" s="9" t="s">
        <v>23</v>
      </c>
      <c r="K375" s="9" t="s">
        <v>26</v>
      </c>
      <c r="L375" s="9">
        <v>1.0</v>
      </c>
      <c r="M375" s="22" t="str">
        <f t="shared" si="2"/>
        <v>OK</v>
      </c>
      <c r="N375" s="19">
        <f t="shared" si="3"/>
        <v>3.6</v>
      </c>
      <c r="R375" s="14"/>
      <c r="S375" s="8"/>
      <c r="U375" s="14"/>
      <c r="V375" s="9"/>
    </row>
    <row r="376">
      <c r="A376" s="20" t="s">
        <v>768</v>
      </c>
      <c r="B376" s="20" t="s">
        <v>769</v>
      </c>
      <c r="C376" s="21">
        <v>45049.0</v>
      </c>
      <c r="D376" s="21">
        <v>45061.0</v>
      </c>
      <c r="E376" s="9" t="s">
        <v>22</v>
      </c>
      <c r="F376" s="8">
        <v>1.9</v>
      </c>
      <c r="G376" s="8">
        <v>61.0</v>
      </c>
      <c r="H376" s="9">
        <v>1.0</v>
      </c>
      <c r="I376" s="8">
        <v>51.0</v>
      </c>
      <c r="J376" s="9" t="s">
        <v>19</v>
      </c>
      <c r="K376" s="9" t="s">
        <v>26</v>
      </c>
      <c r="L376" s="9">
        <v>0.0</v>
      </c>
      <c r="M376" s="22" t="str">
        <f t="shared" si="2"/>
        <v>OK</v>
      </c>
      <c r="N376" s="19">
        <f t="shared" si="3"/>
        <v>1.9</v>
      </c>
      <c r="R376" s="14"/>
      <c r="S376" s="8"/>
      <c r="U376" s="14"/>
      <c r="V376" s="9"/>
    </row>
    <row r="377">
      <c r="A377" s="20" t="s">
        <v>770</v>
      </c>
      <c r="B377" s="20" t="s">
        <v>771</v>
      </c>
      <c r="C377" s="21">
        <v>45081.0</v>
      </c>
      <c r="D377" s="21">
        <v>45093.0</v>
      </c>
      <c r="E377" s="9" t="s">
        <v>29</v>
      </c>
      <c r="F377" s="8">
        <v>0.2</v>
      </c>
      <c r="G377" s="8">
        <v>7.0</v>
      </c>
      <c r="H377" s="9">
        <v>1.0</v>
      </c>
      <c r="I377" s="8">
        <v>30.0</v>
      </c>
      <c r="J377" s="9" t="s">
        <v>23</v>
      </c>
      <c r="K377" s="9" t="s">
        <v>47</v>
      </c>
      <c r="L377" s="9">
        <v>1.0</v>
      </c>
      <c r="M377" s="22" t="str">
        <f t="shared" si="2"/>
        <v>OK</v>
      </c>
      <c r="N377" s="19">
        <f t="shared" si="3"/>
        <v>0.2</v>
      </c>
      <c r="R377" s="14"/>
      <c r="S377" s="8"/>
      <c r="U377" s="14"/>
      <c r="V377" s="9"/>
    </row>
    <row r="378">
      <c r="A378" s="20" t="s">
        <v>772</v>
      </c>
      <c r="B378" s="20" t="s">
        <v>773</v>
      </c>
      <c r="C378" s="21">
        <v>45004.0</v>
      </c>
      <c r="D378" s="21">
        <v>45016.0</v>
      </c>
      <c r="E378" s="9" t="s">
        <v>14</v>
      </c>
      <c r="F378" s="8">
        <v>0.3</v>
      </c>
      <c r="G378" s="8">
        <v>26.0</v>
      </c>
      <c r="H378" s="9">
        <v>0.0</v>
      </c>
      <c r="I378" s="8">
        <v>26.0</v>
      </c>
      <c r="J378" s="9" t="s">
        <v>19</v>
      </c>
      <c r="K378" s="9" t="s">
        <v>26</v>
      </c>
      <c r="L378" s="9">
        <v>1.0</v>
      </c>
      <c r="M378" s="22" t="str">
        <f t="shared" si="2"/>
        <v>OK</v>
      </c>
      <c r="N378" s="19">
        <f t="shared" si="3"/>
        <v>0.3</v>
      </c>
      <c r="R378" s="14"/>
      <c r="S378" s="8"/>
      <c r="U378" s="14"/>
      <c r="V378" s="9"/>
    </row>
    <row r="379">
      <c r="A379" s="20" t="s">
        <v>774</v>
      </c>
      <c r="B379" s="20" t="s">
        <v>775</v>
      </c>
      <c r="C379" s="21">
        <v>45052.0</v>
      </c>
      <c r="D379" s="21">
        <v>45064.0</v>
      </c>
      <c r="E379" s="9" t="s">
        <v>14</v>
      </c>
      <c r="F379" s="8">
        <v>0.8</v>
      </c>
      <c r="G379" s="8">
        <v>43.0</v>
      </c>
      <c r="H379" s="9">
        <v>0.0</v>
      </c>
      <c r="I379" s="8">
        <v>46.0</v>
      </c>
      <c r="J379" s="9" t="s">
        <v>23</v>
      </c>
      <c r="K379" s="9" t="s">
        <v>47</v>
      </c>
      <c r="L379" s="9">
        <v>1.0</v>
      </c>
      <c r="M379" s="22" t="str">
        <f t="shared" si="2"/>
        <v>OK</v>
      </c>
      <c r="N379" s="19">
        <f t="shared" si="3"/>
        <v>0.8</v>
      </c>
      <c r="R379" s="14"/>
      <c r="S379" s="8"/>
      <c r="U379" s="14"/>
      <c r="V379" s="9"/>
    </row>
    <row r="380">
      <c r="A380" s="20" t="s">
        <v>776</v>
      </c>
      <c r="B380" s="20" t="s">
        <v>777</v>
      </c>
      <c r="C380" s="21">
        <v>45001.0</v>
      </c>
      <c r="D380" s="21">
        <v>45013.0</v>
      </c>
      <c r="E380" s="9" t="s">
        <v>14</v>
      </c>
      <c r="F380" s="8">
        <v>3.1</v>
      </c>
      <c r="G380" s="8">
        <v>35.0</v>
      </c>
      <c r="H380" s="9">
        <v>1.0</v>
      </c>
      <c r="I380" s="8">
        <v>34.0</v>
      </c>
      <c r="J380" s="9" t="s">
        <v>19</v>
      </c>
      <c r="K380" s="9" t="s">
        <v>26</v>
      </c>
      <c r="L380" s="9">
        <v>1.0</v>
      </c>
      <c r="M380" s="22" t="str">
        <f t="shared" si="2"/>
        <v>OK</v>
      </c>
      <c r="N380" s="19">
        <f t="shared" si="3"/>
        <v>3.1</v>
      </c>
      <c r="R380" s="14"/>
      <c r="S380" s="8"/>
      <c r="U380" s="14"/>
      <c r="V380" s="9"/>
    </row>
    <row r="381">
      <c r="A381" s="20" t="s">
        <v>778</v>
      </c>
      <c r="B381" s="20" t="s">
        <v>779</v>
      </c>
      <c r="C381" s="21">
        <v>45014.0</v>
      </c>
      <c r="D381" s="21">
        <v>45026.0</v>
      </c>
      <c r="E381" s="9" t="s">
        <v>22</v>
      </c>
      <c r="F381" s="8">
        <v>3.5</v>
      </c>
      <c r="G381" s="8">
        <v>14.0</v>
      </c>
      <c r="H381" s="9">
        <v>1.0</v>
      </c>
      <c r="I381" s="8">
        <v>53.0</v>
      </c>
      <c r="J381" s="9" t="s">
        <v>32</v>
      </c>
      <c r="K381" s="9" t="s">
        <v>47</v>
      </c>
      <c r="L381" s="9">
        <v>1.0</v>
      </c>
      <c r="M381" s="22" t="str">
        <f t="shared" si="2"/>
        <v>OK</v>
      </c>
      <c r="N381" s="19">
        <f t="shared" si="3"/>
        <v>3.5</v>
      </c>
      <c r="R381" s="14"/>
      <c r="S381" s="8"/>
      <c r="U381" s="14"/>
      <c r="V381" s="9"/>
    </row>
    <row r="382">
      <c r="A382" s="20" t="s">
        <v>780</v>
      </c>
      <c r="B382" s="20" t="s">
        <v>781</v>
      </c>
      <c r="C382" s="21">
        <v>45140.0</v>
      </c>
      <c r="D382" s="21">
        <v>45152.0</v>
      </c>
      <c r="E382" s="9" t="s">
        <v>22</v>
      </c>
      <c r="F382" s="8">
        <v>1.6</v>
      </c>
      <c r="G382" s="8">
        <v>36.0</v>
      </c>
      <c r="H382" s="9">
        <v>1.0</v>
      </c>
      <c r="I382" s="8">
        <v>36.0</v>
      </c>
      <c r="J382" s="9" t="s">
        <v>35</v>
      </c>
      <c r="K382" s="9" t="s">
        <v>16</v>
      </c>
      <c r="L382" s="9">
        <v>0.0</v>
      </c>
      <c r="M382" s="22" t="str">
        <f t="shared" si="2"/>
        <v>OK</v>
      </c>
      <c r="N382" s="19">
        <f t="shared" si="3"/>
        <v>1.6</v>
      </c>
      <c r="R382" s="14"/>
      <c r="S382" s="8"/>
      <c r="U382" s="14"/>
      <c r="V382" s="9"/>
    </row>
    <row r="383">
      <c r="A383" s="20" t="s">
        <v>782</v>
      </c>
      <c r="B383" s="20" t="s">
        <v>783</v>
      </c>
      <c r="C383" s="21">
        <v>45018.0</v>
      </c>
      <c r="D383" s="21">
        <v>45030.0</v>
      </c>
      <c r="E383" s="9" t="s">
        <v>38</v>
      </c>
      <c r="F383" s="8">
        <v>4.4</v>
      </c>
      <c r="G383" s="8">
        <v>68.0</v>
      </c>
      <c r="H383" s="9">
        <v>1.0</v>
      </c>
      <c r="I383" s="8">
        <v>12.0</v>
      </c>
      <c r="J383" s="9" t="s">
        <v>19</v>
      </c>
      <c r="K383" s="9" t="s">
        <v>47</v>
      </c>
      <c r="L383" s="9">
        <v>1.0</v>
      </c>
      <c r="M383" s="22" t="str">
        <f t="shared" si="2"/>
        <v>OK</v>
      </c>
      <c r="N383" s="19">
        <f t="shared" si="3"/>
        <v>4.4</v>
      </c>
      <c r="R383" s="14"/>
      <c r="S383" s="8"/>
      <c r="U383" s="14"/>
      <c r="V383" s="9"/>
    </row>
    <row r="384">
      <c r="A384" s="20" t="s">
        <v>784</v>
      </c>
      <c r="B384" s="20" t="s">
        <v>785</v>
      </c>
      <c r="C384" s="21">
        <v>44982.0</v>
      </c>
      <c r="D384" s="21">
        <v>44994.0</v>
      </c>
      <c r="E384" s="9" t="s">
        <v>29</v>
      </c>
      <c r="F384" s="8">
        <v>0.0</v>
      </c>
      <c r="G384" s="8">
        <v>56.0</v>
      </c>
      <c r="H384" s="9">
        <v>1.0</v>
      </c>
      <c r="I384" s="8">
        <v>13.0</v>
      </c>
      <c r="J384" s="9" t="s">
        <v>32</v>
      </c>
      <c r="K384" s="9" t="s">
        <v>47</v>
      </c>
      <c r="L384" s="9">
        <v>0.0</v>
      </c>
      <c r="M384" s="22" t="str">
        <f t="shared" si="2"/>
        <v>OK</v>
      </c>
      <c r="N384" s="19">
        <f t="shared" si="3"/>
        <v>0</v>
      </c>
      <c r="R384" s="14"/>
      <c r="S384" s="8"/>
      <c r="U384" s="14"/>
      <c r="V384" s="9"/>
    </row>
    <row r="385">
      <c r="A385" s="20" t="s">
        <v>786</v>
      </c>
      <c r="B385" s="20" t="s">
        <v>787</v>
      </c>
      <c r="C385" s="21">
        <v>45012.0</v>
      </c>
      <c r="D385" s="21">
        <v>45024.0</v>
      </c>
      <c r="E385" s="9" t="s">
        <v>38</v>
      </c>
      <c r="F385" s="8">
        <v>1.2</v>
      </c>
      <c r="G385" s="8">
        <v>100.0</v>
      </c>
      <c r="H385" s="9">
        <v>0.0</v>
      </c>
      <c r="I385" s="8">
        <v>31.0</v>
      </c>
      <c r="J385" s="9" t="s">
        <v>35</v>
      </c>
      <c r="K385" s="9" t="s">
        <v>26</v>
      </c>
      <c r="L385" s="9">
        <v>1.0</v>
      </c>
      <c r="M385" s="22" t="str">
        <f t="shared" si="2"/>
        <v>OK</v>
      </c>
      <c r="N385" s="19">
        <f t="shared" si="3"/>
        <v>1.2</v>
      </c>
      <c r="R385" s="14"/>
      <c r="S385" s="8"/>
      <c r="U385" s="14"/>
      <c r="V385" s="9"/>
    </row>
    <row r="386">
      <c r="A386" s="20" t="s">
        <v>788</v>
      </c>
      <c r="B386" s="20" t="s">
        <v>789</v>
      </c>
      <c r="C386" s="21">
        <v>45150.0</v>
      </c>
      <c r="D386" s="21">
        <v>45162.0</v>
      </c>
      <c r="E386" s="9" t="s">
        <v>22</v>
      </c>
      <c r="F386" s="8">
        <v>1.5</v>
      </c>
      <c r="G386" s="8">
        <v>77.0</v>
      </c>
      <c r="H386" s="9">
        <v>1.0</v>
      </c>
      <c r="I386" s="8">
        <v>43.0</v>
      </c>
      <c r="J386" s="9" t="s">
        <v>32</v>
      </c>
      <c r="K386" s="9" t="s">
        <v>16</v>
      </c>
      <c r="L386" s="9">
        <v>1.0</v>
      </c>
      <c r="M386" s="22" t="str">
        <f t="shared" si="2"/>
        <v>OK</v>
      </c>
      <c r="N386" s="19">
        <f t="shared" si="3"/>
        <v>1.5</v>
      </c>
      <c r="R386" s="14"/>
      <c r="S386" s="8"/>
      <c r="U386" s="14"/>
      <c r="V386" s="9"/>
    </row>
    <row r="387">
      <c r="A387" s="20" t="s">
        <v>790</v>
      </c>
      <c r="B387" s="20" t="s">
        <v>791</v>
      </c>
      <c r="C387" s="21">
        <v>45018.0</v>
      </c>
      <c r="D387" s="21">
        <v>45030.0</v>
      </c>
      <c r="E387" s="9" t="s">
        <v>29</v>
      </c>
      <c r="F387" s="8">
        <v>4.6</v>
      </c>
      <c r="G387" s="8">
        <v>21.0</v>
      </c>
      <c r="H387" s="9">
        <v>1.0</v>
      </c>
      <c r="I387" s="8">
        <v>50.0</v>
      </c>
      <c r="J387" s="9" t="s">
        <v>19</v>
      </c>
      <c r="K387" s="9" t="s">
        <v>47</v>
      </c>
      <c r="L387" s="9">
        <v>1.0</v>
      </c>
      <c r="M387" s="22" t="str">
        <f t="shared" si="2"/>
        <v>OK</v>
      </c>
      <c r="N387" s="19">
        <f t="shared" si="3"/>
        <v>4.6</v>
      </c>
      <c r="R387" s="14"/>
      <c r="S387" s="8"/>
      <c r="U387" s="14"/>
      <c r="V387" s="9"/>
    </row>
    <row r="388">
      <c r="A388" s="20" t="s">
        <v>792</v>
      </c>
      <c r="B388" s="20" t="s">
        <v>793</v>
      </c>
      <c r="C388" s="21">
        <v>45180.0</v>
      </c>
      <c r="D388" s="21">
        <v>45192.0</v>
      </c>
      <c r="E388" s="9" t="s">
        <v>14</v>
      </c>
      <c r="F388" s="8">
        <v>4.8</v>
      </c>
      <c r="G388" s="8">
        <v>81.0</v>
      </c>
      <c r="H388" s="9">
        <v>1.0</v>
      </c>
      <c r="I388" s="8">
        <v>47.0</v>
      </c>
      <c r="J388" s="9" t="s">
        <v>32</v>
      </c>
      <c r="K388" s="9" t="s">
        <v>47</v>
      </c>
      <c r="L388" s="9">
        <v>1.0</v>
      </c>
      <c r="M388" s="22" t="str">
        <f t="shared" si="2"/>
        <v>OK</v>
      </c>
      <c r="N388" s="19">
        <f t="shared" si="3"/>
        <v>4.8</v>
      </c>
      <c r="R388" s="14"/>
      <c r="S388" s="8"/>
      <c r="U388" s="14"/>
      <c r="V388" s="9"/>
    </row>
    <row r="389">
      <c r="A389" s="20" t="s">
        <v>794</v>
      </c>
      <c r="B389" s="20" t="s">
        <v>795</v>
      </c>
      <c r="C389" s="21">
        <v>45206.0</v>
      </c>
      <c r="D389" s="21">
        <v>45218.0</v>
      </c>
      <c r="E389" s="9" t="s">
        <v>29</v>
      </c>
      <c r="F389" s="8">
        <v>2.8</v>
      </c>
      <c r="G389" s="8">
        <v>57.0</v>
      </c>
      <c r="H389" s="9">
        <v>1.0</v>
      </c>
      <c r="I389" s="8">
        <v>27.0</v>
      </c>
      <c r="J389" s="9" t="s">
        <v>23</v>
      </c>
      <c r="K389" s="9" t="s">
        <v>16</v>
      </c>
      <c r="L389" s="9">
        <v>0.0</v>
      </c>
      <c r="M389" s="22" t="str">
        <f t="shared" si="2"/>
        <v>OK</v>
      </c>
      <c r="N389" s="19">
        <f t="shared" si="3"/>
        <v>2.8</v>
      </c>
      <c r="R389" s="14"/>
      <c r="S389" s="8"/>
      <c r="U389" s="14"/>
      <c r="V389" s="9"/>
    </row>
    <row r="390">
      <c r="A390" s="20" t="s">
        <v>796</v>
      </c>
      <c r="B390" s="20" t="s">
        <v>797</v>
      </c>
      <c r="C390" s="21">
        <v>45126.0</v>
      </c>
      <c r="D390" s="21">
        <v>45138.0</v>
      </c>
      <c r="E390" s="9" t="s">
        <v>38</v>
      </c>
      <c r="F390" s="8">
        <v>2.1</v>
      </c>
      <c r="G390" s="8">
        <v>17.0</v>
      </c>
      <c r="H390" s="9">
        <v>1.0</v>
      </c>
      <c r="I390" s="8">
        <v>20.0</v>
      </c>
      <c r="J390" s="9" t="s">
        <v>32</v>
      </c>
      <c r="K390" s="9" t="s">
        <v>16</v>
      </c>
      <c r="L390" s="9">
        <v>1.0</v>
      </c>
      <c r="M390" s="22" t="str">
        <f t="shared" si="2"/>
        <v>OK</v>
      </c>
      <c r="N390" s="19">
        <f t="shared" si="3"/>
        <v>2.1</v>
      </c>
      <c r="R390" s="14"/>
      <c r="S390" s="8"/>
      <c r="U390" s="14"/>
      <c r="V390" s="9"/>
    </row>
    <row r="391">
      <c r="A391" s="20" t="s">
        <v>798</v>
      </c>
      <c r="B391" s="20" t="s">
        <v>799</v>
      </c>
      <c r="C391" s="21">
        <v>45203.0</v>
      </c>
      <c r="D391" s="21">
        <v>45215.0</v>
      </c>
      <c r="E391" s="9" t="s">
        <v>29</v>
      </c>
      <c r="F391" s="8">
        <v>3.0</v>
      </c>
      <c r="G391" s="8">
        <v>91.0</v>
      </c>
      <c r="H391" s="9">
        <v>1.0</v>
      </c>
      <c r="I391" s="8">
        <v>42.0</v>
      </c>
      <c r="J391" s="9" t="s">
        <v>23</v>
      </c>
      <c r="K391" s="9" t="s">
        <v>16</v>
      </c>
      <c r="L391" s="9">
        <v>1.0</v>
      </c>
      <c r="M391" s="22" t="str">
        <f t="shared" si="2"/>
        <v>OK</v>
      </c>
      <c r="N391" s="19">
        <f t="shared" si="3"/>
        <v>3</v>
      </c>
      <c r="R391" s="14"/>
      <c r="S391" s="8"/>
      <c r="U391" s="14"/>
      <c r="V391" s="9"/>
    </row>
    <row r="392">
      <c r="A392" s="20" t="s">
        <v>800</v>
      </c>
      <c r="B392" s="20" t="s">
        <v>801</v>
      </c>
      <c r="C392" s="21">
        <v>45218.0</v>
      </c>
      <c r="D392" s="21">
        <v>45230.0</v>
      </c>
      <c r="E392" s="9" t="s">
        <v>29</v>
      </c>
      <c r="F392" s="8">
        <v>3.9</v>
      </c>
      <c r="G392" s="8">
        <v>2.0</v>
      </c>
      <c r="H392" s="9">
        <v>1.0</v>
      </c>
      <c r="I392" s="8">
        <v>52.0</v>
      </c>
      <c r="J392" s="9" t="s">
        <v>19</v>
      </c>
      <c r="K392" s="9" t="s">
        <v>16</v>
      </c>
      <c r="L392" s="9">
        <v>1.0</v>
      </c>
      <c r="M392" s="22" t="str">
        <f t="shared" si="2"/>
        <v>OK</v>
      </c>
      <c r="N392" s="19">
        <f t="shared" si="3"/>
        <v>3.9</v>
      </c>
      <c r="R392" s="14"/>
      <c r="S392" s="8"/>
      <c r="U392" s="14"/>
      <c r="V392" s="9"/>
    </row>
    <row r="393">
      <c r="A393" s="20" t="s">
        <v>802</v>
      </c>
      <c r="B393" s="20" t="s">
        <v>803</v>
      </c>
      <c r="C393" s="21">
        <v>45124.0</v>
      </c>
      <c r="D393" s="21">
        <v>45136.0</v>
      </c>
      <c r="E393" s="9" t="s">
        <v>29</v>
      </c>
      <c r="F393" s="8">
        <v>4.7</v>
      </c>
      <c r="G393" s="8">
        <v>4.0</v>
      </c>
      <c r="H393" s="9">
        <v>0.0</v>
      </c>
      <c r="I393" s="8">
        <v>16.0</v>
      </c>
      <c r="J393" s="9" t="s">
        <v>19</v>
      </c>
      <c r="K393" s="9" t="s">
        <v>47</v>
      </c>
      <c r="L393" s="9">
        <v>1.0</v>
      </c>
      <c r="M393" s="22" t="str">
        <f t="shared" si="2"/>
        <v>OK</v>
      </c>
      <c r="N393" s="19">
        <f t="shared" si="3"/>
        <v>4.7</v>
      </c>
      <c r="R393" s="14"/>
      <c r="S393" s="8"/>
      <c r="U393" s="14"/>
      <c r="V393" s="9"/>
    </row>
    <row r="394">
      <c r="A394" s="20" t="s">
        <v>804</v>
      </c>
      <c r="B394" s="20" t="s">
        <v>805</v>
      </c>
      <c r="C394" s="21">
        <v>45220.0</v>
      </c>
      <c r="D394" s="21">
        <v>45232.0</v>
      </c>
      <c r="E394" s="9" t="s">
        <v>22</v>
      </c>
      <c r="F394" s="8">
        <v>1.8</v>
      </c>
      <c r="G394" s="8">
        <v>10.0</v>
      </c>
      <c r="H394" s="9">
        <v>0.0</v>
      </c>
      <c r="I394" s="8">
        <v>37.0</v>
      </c>
      <c r="J394" s="9" t="s">
        <v>19</v>
      </c>
      <c r="K394" s="9" t="s">
        <v>47</v>
      </c>
      <c r="L394" s="9">
        <v>1.0</v>
      </c>
      <c r="M394" s="22" t="str">
        <f t="shared" si="2"/>
        <v>OK</v>
      </c>
      <c r="N394" s="19">
        <f t="shared" si="3"/>
        <v>1.8</v>
      </c>
      <c r="R394" s="14"/>
      <c r="S394" s="8"/>
      <c r="U394" s="14"/>
      <c r="V394" s="9"/>
    </row>
    <row r="395">
      <c r="A395" s="20" t="s">
        <v>806</v>
      </c>
      <c r="B395" s="20" t="s">
        <v>807</v>
      </c>
      <c r="C395" s="21">
        <v>45088.0</v>
      </c>
      <c r="D395" s="21">
        <v>45100.0</v>
      </c>
      <c r="E395" s="9" t="s">
        <v>29</v>
      </c>
      <c r="F395" s="8">
        <v>0.5</v>
      </c>
      <c r="G395" s="8">
        <v>31.0</v>
      </c>
      <c r="H395" s="9">
        <v>1.0</v>
      </c>
      <c r="I395" s="8">
        <v>29.0</v>
      </c>
      <c r="J395" s="9" t="s">
        <v>32</v>
      </c>
      <c r="K395" s="9" t="s">
        <v>26</v>
      </c>
      <c r="L395" s="9">
        <v>1.0</v>
      </c>
      <c r="M395" s="22" t="str">
        <f t="shared" si="2"/>
        <v>OK</v>
      </c>
      <c r="N395" s="19">
        <f t="shared" si="3"/>
        <v>0.5</v>
      </c>
      <c r="R395" s="14"/>
      <c r="S395" s="8"/>
      <c r="U395" s="14"/>
      <c r="V395" s="9"/>
    </row>
    <row r="396">
      <c r="A396" s="20" t="s">
        <v>808</v>
      </c>
      <c r="B396" s="20" t="s">
        <v>809</v>
      </c>
      <c r="C396" s="21">
        <v>44945.0</v>
      </c>
      <c r="D396" s="21">
        <v>44957.0</v>
      </c>
      <c r="E396" s="9" t="s">
        <v>29</v>
      </c>
      <c r="F396" s="8">
        <v>0.6</v>
      </c>
      <c r="G396" s="8">
        <v>12.0</v>
      </c>
      <c r="H396" s="9">
        <v>0.0</v>
      </c>
      <c r="I396" s="8">
        <v>19.0</v>
      </c>
      <c r="J396" s="9" t="s">
        <v>23</v>
      </c>
      <c r="K396" s="9" t="s">
        <v>26</v>
      </c>
      <c r="L396" s="9">
        <v>1.0</v>
      </c>
      <c r="M396" s="22" t="str">
        <f t="shared" si="2"/>
        <v>OK</v>
      </c>
      <c r="N396" s="19">
        <f t="shared" si="3"/>
        <v>0.6</v>
      </c>
      <c r="R396" s="14"/>
      <c r="S396" s="8"/>
      <c r="U396" s="14"/>
      <c r="V396" s="9"/>
    </row>
    <row r="397">
      <c r="A397" s="20" t="s">
        <v>810</v>
      </c>
      <c r="B397" s="20" t="s">
        <v>811</v>
      </c>
      <c r="C397" s="21">
        <v>45214.0</v>
      </c>
      <c r="D397" s="21">
        <v>45226.0</v>
      </c>
      <c r="E397" s="9" t="s">
        <v>14</v>
      </c>
      <c r="F397" s="8">
        <v>2.4</v>
      </c>
      <c r="G397" s="8">
        <v>83.0</v>
      </c>
      <c r="H397" s="9">
        <v>0.0</v>
      </c>
      <c r="I397" s="8">
        <v>55.0</v>
      </c>
      <c r="J397" s="9" t="s">
        <v>23</v>
      </c>
      <c r="K397" s="9" t="s">
        <v>16</v>
      </c>
      <c r="L397" s="9">
        <v>1.0</v>
      </c>
      <c r="M397" s="22" t="str">
        <f t="shared" si="2"/>
        <v>OK</v>
      </c>
      <c r="N397" s="19">
        <f t="shared" si="3"/>
        <v>2.4</v>
      </c>
      <c r="R397" s="14"/>
      <c r="S397" s="8"/>
      <c r="U397" s="14"/>
      <c r="V397" s="9"/>
    </row>
    <row r="398">
      <c r="A398" s="20" t="s">
        <v>812</v>
      </c>
      <c r="B398" s="20" t="s">
        <v>813</v>
      </c>
      <c r="C398" s="21">
        <v>45213.0</v>
      </c>
      <c r="D398" s="21">
        <v>45225.0</v>
      </c>
      <c r="E398" s="9" t="s">
        <v>38</v>
      </c>
      <c r="F398" s="8">
        <v>0.1</v>
      </c>
      <c r="G398" s="8">
        <v>50.0</v>
      </c>
      <c r="H398" s="9">
        <v>1.0</v>
      </c>
      <c r="I398" s="8">
        <v>54.0</v>
      </c>
      <c r="J398" s="9" t="s">
        <v>32</v>
      </c>
      <c r="K398" s="9" t="s">
        <v>47</v>
      </c>
      <c r="L398" s="9">
        <v>1.0</v>
      </c>
      <c r="M398" s="22" t="str">
        <f t="shared" si="2"/>
        <v>OK</v>
      </c>
      <c r="N398" s="19">
        <f t="shared" si="3"/>
        <v>0.1</v>
      </c>
      <c r="R398" s="14"/>
      <c r="S398" s="8"/>
      <c r="U398" s="14"/>
      <c r="V398" s="9"/>
    </row>
    <row r="399">
      <c r="A399" s="20" t="s">
        <v>814</v>
      </c>
      <c r="B399" s="20" t="s">
        <v>815</v>
      </c>
      <c r="C399" s="21">
        <v>45100.0</v>
      </c>
      <c r="D399" s="21">
        <v>45112.0</v>
      </c>
      <c r="E399" s="9" t="s">
        <v>22</v>
      </c>
      <c r="F399" s="8">
        <v>4.9</v>
      </c>
      <c r="G399" s="8">
        <v>53.0</v>
      </c>
      <c r="H399" s="9">
        <v>0.0</v>
      </c>
      <c r="I399" s="8">
        <v>28.0</v>
      </c>
      <c r="J399" s="9" t="s">
        <v>23</v>
      </c>
      <c r="K399" s="9" t="s">
        <v>16</v>
      </c>
      <c r="L399" s="9">
        <v>1.0</v>
      </c>
      <c r="M399" s="22" t="str">
        <f t="shared" si="2"/>
        <v>OK</v>
      </c>
      <c r="N399" s="19">
        <f t="shared" si="3"/>
        <v>4.9</v>
      </c>
      <c r="R399" s="14"/>
      <c r="S399" s="8"/>
      <c r="U399" s="14"/>
      <c r="V399" s="9"/>
    </row>
    <row r="400">
      <c r="A400" s="20" t="s">
        <v>816</v>
      </c>
      <c r="B400" s="20" t="s">
        <v>817</v>
      </c>
      <c r="C400" s="21">
        <v>45057.0</v>
      </c>
      <c r="D400" s="21">
        <v>45069.0</v>
      </c>
      <c r="E400" s="9" t="s">
        <v>38</v>
      </c>
      <c r="F400" s="8">
        <v>3.3</v>
      </c>
      <c r="G400" s="8">
        <v>3.0</v>
      </c>
      <c r="H400" s="9">
        <v>1.0</v>
      </c>
      <c r="I400" s="8">
        <v>24.0</v>
      </c>
      <c r="J400" s="9" t="s">
        <v>19</v>
      </c>
      <c r="K400" s="9" t="s">
        <v>16</v>
      </c>
      <c r="L400" s="9">
        <v>1.0</v>
      </c>
      <c r="M400" s="22" t="str">
        <f t="shared" si="2"/>
        <v>OK</v>
      </c>
      <c r="N400" s="19">
        <f t="shared" si="3"/>
        <v>3.3</v>
      </c>
      <c r="R400" s="14"/>
      <c r="S400" s="8"/>
      <c r="U400" s="14"/>
      <c r="V400" s="9"/>
    </row>
    <row r="401">
      <c r="A401" s="20" t="s">
        <v>818</v>
      </c>
      <c r="B401" s="20" t="s">
        <v>819</v>
      </c>
      <c r="C401" s="21">
        <v>45076.0</v>
      </c>
      <c r="D401" s="21">
        <v>45088.0</v>
      </c>
      <c r="E401" s="9" t="s">
        <v>29</v>
      </c>
      <c r="F401" s="8">
        <v>2.0</v>
      </c>
      <c r="G401" s="8">
        <v>29.0</v>
      </c>
      <c r="H401" s="9">
        <v>1.0</v>
      </c>
      <c r="I401" s="8">
        <v>22.0</v>
      </c>
      <c r="J401" s="9" t="s">
        <v>35</v>
      </c>
      <c r="K401" s="9" t="s">
        <v>47</v>
      </c>
      <c r="L401" s="9">
        <v>1.0</v>
      </c>
      <c r="M401" s="22" t="str">
        <f t="shared" si="2"/>
        <v>OK</v>
      </c>
      <c r="N401" s="19">
        <f t="shared" si="3"/>
        <v>2</v>
      </c>
      <c r="R401" s="14"/>
      <c r="S401" s="8"/>
      <c r="U401" s="14"/>
      <c r="V401" s="9"/>
    </row>
    <row r="402">
      <c r="A402" s="20" t="s">
        <v>820</v>
      </c>
      <c r="B402" s="20" t="s">
        <v>821</v>
      </c>
      <c r="C402" s="21">
        <v>45201.0</v>
      </c>
      <c r="D402" s="21">
        <v>45213.0</v>
      </c>
      <c r="E402" s="9" t="s">
        <v>22</v>
      </c>
      <c r="F402" s="8">
        <v>2.9</v>
      </c>
      <c r="G402" s="8">
        <v>67.0</v>
      </c>
      <c r="H402" s="9">
        <v>0.0</v>
      </c>
      <c r="I402" s="8">
        <v>40.0</v>
      </c>
      <c r="J402" s="9" t="s">
        <v>32</v>
      </c>
      <c r="K402" s="9" t="s">
        <v>47</v>
      </c>
      <c r="L402" s="9">
        <v>1.0</v>
      </c>
      <c r="M402" s="22" t="str">
        <f t="shared" si="2"/>
        <v>OK</v>
      </c>
      <c r="N402" s="19">
        <f t="shared" si="3"/>
        <v>2.9</v>
      </c>
      <c r="R402" s="14"/>
      <c r="S402" s="8"/>
      <c r="U402" s="14"/>
      <c r="V402" s="9"/>
    </row>
    <row r="403">
      <c r="A403" s="20" t="s">
        <v>822</v>
      </c>
      <c r="B403" s="20" t="s">
        <v>823</v>
      </c>
      <c r="C403" s="21">
        <v>45263.0</v>
      </c>
      <c r="D403" s="21">
        <v>45275.0</v>
      </c>
      <c r="E403" s="9" t="s">
        <v>38</v>
      </c>
      <c r="F403" s="8">
        <v>0.4</v>
      </c>
      <c r="G403" s="8">
        <v>75.0</v>
      </c>
      <c r="H403" s="9">
        <v>1.0</v>
      </c>
      <c r="I403" s="8">
        <v>32.0</v>
      </c>
      <c r="J403" s="9" t="s">
        <v>15</v>
      </c>
      <c r="K403" s="9" t="s">
        <v>26</v>
      </c>
      <c r="L403" s="9">
        <v>1.0</v>
      </c>
      <c r="M403" s="22" t="str">
        <f t="shared" si="2"/>
        <v>OK</v>
      </c>
      <c r="N403" s="19">
        <f t="shared" si="3"/>
        <v>0.4</v>
      </c>
      <c r="R403" s="14"/>
      <c r="S403" s="8"/>
      <c r="U403" s="14"/>
      <c r="V403" s="9"/>
    </row>
    <row r="404">
      <c r="A404" s="20" t="s">
        <v>824</v>
      </c>
      <c r="B404" s="20" t="s">
        <v>825</v>
      </c>
      <c r="C404" s="21">
        <v>45026.0</v>
      </c>
      <c r="D404" s="21">
        <v>45038.0</v>
      </c>
      <c r="E404" s="9" t="s">
        <v>22</v>
      </c>
      <c r="F404" s="8">
        <v>5.0</v>
      </c>
      <c r="G404" s="8">
        <v>71.0</v>
      </c>
      <c r="H404" s="9">
        <v>1.0</v>
      </c>
      <c r="I404" s="8">
        <v>41.0</v>
      </c>
      <c r="J404" s="9" t="s">
        <v>15</v>
      </c>
      <c r="K404" s="9" t="s">
        <v>16</v>
      </c>
      <c r="L404" s="9">
        <v>1.0</v>
      </c>
      <c r="M404" s="22" t="str">
        <f t="shared" si="2"/>
        <v>OK</v>
      </c>
      <c r="N404" s="19">
        <f t="shared" si="3"/>
        <v>5</v>
      </c>
      <c r="R404" s="14"/>
      <c r="S404" s="8"/>
      <c r="U404" s="14"/>
      <c r="V404" s="9"/>
    </row>
    <row r="405">
      <c r="A405" s="20" t="s">
        <v>826</v>
      </c>
      <c r="B405" s="20" t="s">
        <v>827</v>
      </c>
      <c r="C405" s="21">
        <v>45195.0</v>
      </c>
      <c r="D405" s="21">
        <v>45207.0</v>
      </c>
      <c r="E405" s="9" t="s">
        <v>38</v>
      </c>
      <c r="F405" s="8">
        <v>2.6</v>
      </c>
      <c r="G405" s="8">
        <v>1.0</v>
      </c>
      <c r="H405" s="9">
        <v>0.0</v>
      </c>
      <c r="I405" s="8">
        <v>21.0</v>
      </c>
      <c r="J405" s="9" t="s">
        <v>23</v>
      </c>
      <c r="K405" s="9" t="s">
        <v>16</v>
      </c>
      <c r="L405" s="9">
        <v>1.0</v>
      </c>
      <c r="M405" s="22" t="str">
        <f t="shared" si="2"/>
        <v>OK</v>
      </c>
      <c r="N405" s="19">
        <f t="shared" si="3"/>
        <v>2.6</v>
      </c>
      <c r="R405" s="14"/>
      <c r="S405" s="8"/>
      <c r="U405" s="14"/>
      <c r="V405" s="9"/>
    </row>
    <row r="406">
      <c r="A406" s="20" t="s">
        <v>828</v>
      </c>
      <c r="B406" s="20" t="s">
        <v>829</v>
      </c>
      <c r="C406" s="21">
        <v>45255.0</v>
      </c>
      <c r="D406" s="21">
        <v>45267.0</v>
      </c>
      <c r="E406" s="9" t="s">
        <v>14</v>
      </c>
      <c r="F406" s="8">
        <v>0.9</v>
      </c>
      <c r="G406" s="8">
        <v>22.0</v>
      </c>
      <c r="H406" s="9">
        <v>0.0</v>
      </c>
      <c r="I406" s="8">
        <v>23.0</v>
      </c>
      <c r="J406" s="9" t="s">
        <v>35</v>
      </c>
      <c r="K406" s="9" t="s">
        <v>16</v>
      </c>
      <c r="L406" s="9">
        <v>0.0</v>
      </c>
      <c r="M406" s="22" t="str">
        <f t="shared" si="2"/>
        <v>OK</v>
      </c>
      <c r="N406" s="19">
        <f t="shared" si="3"/>
        <v>0.9</v>
      </c>
      <c r="R406" s="14"/>
      <c r="S406" s="8"/>
      <c r="U406" s="14"/>
      <c r="V406" s="9"/>
    </row>
    <row r="407">
      <c r="A407" s="20" t="s">
        <v>830</v>
      </c>
      <c r="B407" s="20" t="s">
        <v>831</v>
      </c>
      <c r="C407" s="21">
        <v>45115.0</v>
      </c>
      <c r="D407" s="21">
        <v>45127.0</v>
      </c>
      <c r="E407" s="9" t="s">
        <v>29</v>
      </c>
      <c r="F407" s="8">
        <v>3.8</v>
      </c>
      <c r="G407" s="8">
        <v>0.0</v>
      </c>
      <c r="H407" s="9">
        <v>1.0</v>
      </c>
      <c r="I407" s="8">
        <v>18.0</v>
      </c>
      <c r="J407" s="9" t="s">
        <v>19</v>
      </c>
      <c r="K407" s="9" t="s">
        <v>26</v>
      </c>
      <c r="L407" s="9">
        <v>1.0</v>
      </c>
      <c r="M407" s="22" t="str">
        <f t="shared" si="2"/>
        <v>OK</v>
      </c>
      <c r="N407" s="19">
        <f t="shared" si="3"/>
        <v>3.8</v>
      </c>
      <c r="R407" s="14"/>
      <c r="S407" s="8"/>
      <c r="U407" s="14"/>
      <c r="V407" s="9"/>
    </row>
    <row r="408">
      <c r="A408" s="20" t="s">
        <v>832</v>
      </c>
      <c r="B408" s="20" t="s">
        <v>833</v>
      </c>
      <c r="C408" s="21">
        <v>45026.0</v>
      </c>
      <c r="D408" s="21">
        <v>45038.0</v>
      </c>
      <c r="E408" s="9" t="s">
        <v>22</v>
      </c>
      <c r="F408" s="8">
        <v>2.5</v>
      </c>
      <c r="G408" s="8">
        <v>50.0</v>
      </c>
      <c r="H408" s="9">
        <v>1.0</v>
      </c>
      <c r="I408" s="8">
        <v>56.0</v>
      </c>
      <c r="J408" s="9" t="s">
        <v>15</v>
      </c>
      <c r="K408" s="9" t="s">
        <v>47</v>
      </c>
      <c r="L408" s="9">
        <v>0.0</v>
      </c>
      <c r="M408" s="22" t="str">
        <f t="shared" si="2"/>
        <v>OK</v>
      </c>
      <c r="N408" s="19">
        <f t="shared" si="3"/>
        <v>2.5</v>
      </c>
      <c r="R408" s="14"/>
      <c r="S408" s="8"/>
      <c r="U408" s="14"/>
      <c r="V408" s="9"/>
    </row>
    <row r="409">
      <c r="A409" s="20" t="s">
        <v>834</v>
      </c>
      <c r="B409" s="20" t="s">
        <v>835</v>
      </c>
      <c r="C409" s="21">
        <v>44958.0</v>
      </c>
      <c r="D409" s="21">
        <v>44970.0</v>
      </c>
      <c r="E409" s="9" t="s">
        <v>38</v>
      </c>
      <c r="F409" s="8">
        <v>4.5</v>
      </c>
      <c r="G409" s="8">
        <v>94.0</v>
      </c>
      <c r="H409" s="9">
        <v>1.0</v>
      </c>
      <c r="I409" s="8">
        <v>39.0</v>
      </c>
      <c r="J409" s="9" t="s">
        <v>15</v>
      </c>
      <c r="K409" s="9" t="s">
        <v>47</v>
      </c>
      <c r="L409" s="9">
        <v>1.0</v>
      </c>
      <c r="M409" s="22" t="str">
        <f t="shared" si="2"/>
        <v>OK</v>
      </c>
      <c r="N409" s="19">
        <f t="shared" si="3"/>
        <v>4.5</v>
      </c>
      <c r="R409" s="14"/>
      <c r="S409" s="8"/>
      <c r="U409" s="14"/>
      <c r="V409" s="9"/>
    </row>
    <row r="410">
      <c r="A410" s="20" t="s">
        <v>836</v>
      </c>
      <c r="B410" s="20" t="s">
        <v>837</v>
      </c>
      <c r="C410" s="21">
        <v>45163.0</v>
      </c>
      <c r="D410" s="21">
        <v>45175.0</v>
      </c>
      <c r="E410" s="9" t="s">
        <v>14</v>
      </c>
      <c r="F410" s="8">
        <v>1.3</v>
      </c>
      <c r="G410" s="8">
        <v>7.0</v>
      </c>
      <c r="H410" s="9">
        <v>0.0</v>
      </c>
      <c r="I410" s="8">
        <v>52.0</v>
      </c>
      <c r="J410" s="9" t="s">
        <v>23</v>
      </c>
      <c r="K410" s="9" t="s">
        <v>47</v>
      </c>
      <c r="L410" s="9">
        <v>1.0</v>
      </c>
      <c r="M410" s="22" t="str">
        <f t="shared" si="2"/>
        <v>OK</v>
      </c>
      <c r="N410" s="19">
        <f t="shared" si="3"/>
        <v>1.3</v>
      </c>
      <c r="R410" s="14"/>
      <c r="S410" s="8"/>
      <c r="U410" s="14"/>
      <c r="V410" s="9"/>
    </row>
    <row r="411">
      <c r="A411" s="20" t="s">
        <v>838</v>
      </c>
      <c r="B411" s="20" t="s">
        <v>839</v>
      </c>
      <c r="C411" s="21">
        <v>44976.0</v>
      </c>
      <c r="D411" s="21">
        <v>44988.0</v>
      </c>
      <c r="E411" s="9" t="s">
        <v>22</v>
      </c>
      <c r="F411" s="8">
        <v>2.7</v>
      </c>
      <c r="G411" s="8">
        <v>51.0</v>
      </c>
      <c r="H411" s="9">
        <v>0.0</v>
      </c>
      <c r="I411" s="8">
        <v>55.0</v>
      </c>
      <c r="J411" s="9" t="s">
        <v>19</v>
      </c>
      <c r="K411" s="9" t="s">
        <v>26</v>
      </c>
      <c r="L411" s="9">
        <v>1.0</v>
      </c>
      <c r="M411" s="22" t="str">
        <f t="shared" si="2"/>
        <v>OK</v>
      </c>
      <c r="N411" s="19">
        <f t="shared" si="3"/>
        <v>2.7</v>
      </c>
      <c r="R411" s="14"/>
      <c r="S411" s="8"/>
      <c r="U411" s="14"/>
      <c r="V411" s="9"/>
    </row>
    <row r="412">
      <c r="A412" s="20" t="s">
        <v>840</v>
      </c>
      <c r="B412" s="20" t="s">
        <v>841</v>
      </c>
      <c r="C412" s="21">
        <v>45246.0</v>
      </c>
      <c r="D412" s="21">
        <v>45258.0</v>
      </c>
      <c r="E412" s="9" t="s">
        <v>38</v>
      </c>
      <c r="F412" s="8">
        <v>3.4</v>
      </c>
      <c r="G412" s="8">
        <v>27.0</v>
      </c>
      <c r="H412" s="9">
        <v>1.0</v>
      </c>
      <c r="I412" s="8">
        <v>27.0</v>
      </c>
      <c r="J412" s="9" t="s">
        <v>32</v>
      </c>
      <c r="K412" s="9" t="s">
        <v>16</v>
      </c>
      <c r="L412" s="9">
        <v>0.0</v>
      </c>
      <c r="M412" s="22" t="str">
        <f t="shared" si="2"/>
        <v>OK</v>
      </c>
      <c r="N412" s="19">
        <f t="shared" si="3"/>
        <v>3.4</v>
      </c>
      <c r="R412" s="14"/>
      <c r="S412" s="8"/>
      <c r="U412" s="14"/>
      <c r="V412" s="9"/>
    </row>
    <row r="413">
      <c r="A413" s="20" t="s">
        <v>842</v>
      </c>
      <c r="B413" s="20" t="s">
        <v>843</v>
      </c>
      <c r="C413" s="21">
        <v>45034.0</v>
      </c>
      <c r="D413" s="21">
        <v>45046.0</v>
      </c>
      <c r="E413" s="9" t="s">
        <v>29</v>
      </c>
      <c r="F413" s="8">
        <v>1.1</v>
      </c>
      <c r="G413" s="8">
        <v>99.0</v>
      </c>
      <c r="H413" s="9">
        <v>1.0</v>
      </c>
      <c r="I413" s="8">
        <v>31.0</v>
      </c>
      <c r="J413" s="9" t="s">
        <v>32</v>
      </c>
      <c r="K413" s="9" t="s">
        <v>47</v>
      </c>
      <c r="L413" s="9">
        <v>1.0</v>
      </c>
      <c r="M413" s="22" t="str">
        <f t="shared" si="2"/>
        <v>OK</v>
      </c>
      <c r="N413" s="19">
        <f t="shared" si="3"/>
        <v>1.1</v>
      </c>
      <c r="R413" s="14"/>
      <c r="S413" s="8"/>
      <c r="U413" s="14"/>
      <c r="V413" s="9"/>
    </row>
    <row r="414">
      <c r="A414" s="20" t="s">
        <v>844</v>
      </c>
      <c r="B414" s="20" t="s">
        <v>845</v>
      </c>
      <c r="C414" s="21">
        <v>45230.0</v>
      </c>
      <c r="D414" s="21">
        <v>45242.0</v>
      </c>
      <c r="E414" s="9" t="s">
        <v>14</v>
      </c>
      <c r="F414" s="8">
        <v>3.2</v>
      </c>
      <c r="G414" s="8">
        <v>73.0</v>
      </c>
      <c r="H414" s="9">
        <v>1.0</v>
      </c>
      <c r="I414" s="8">
        <v>42.0</v>
      </c>
      <c r="J414" s="9" t="s">
        <v>23</v>
      </c>
      <c r="K414" s="9" t="s">
        <v>47</v>
      </c>
      <c r="L414" s="9">
        <v>1.0</v>
      </c>
      <c r="M414" s="22" t="str">
        <f t="shared" si="2"/>
        <v>OK</v>
      </c>
      <c r="N414" s="19">
        <f t="shared" si="3"/>
        <v>3.2</v>
      </c>
      <c r="R414" s="14"/>
      <c r="S414" s="8"/>
      <c r="U414" s="14"/>
      <c r="V414" s="9"/>
    </row>
    <row r="415">
      <c r="A415" s="20" t="s">
        <v>846</v>
      </c>
      <c r="B415" s="20" t="s">
        <v>847</v>
      </c>
      <c r="C415" s="21">
        <v>45237.0</v>
      </c>
      <c r="D415" s="21">
        <v>45249.0</v>
      </c>
      <c r="E415" s="9" t="s">
        <v>22</v>
      </c>
      <c r="F415" s="8">
        <v>0.8</v>
      </c>
      <c r="G415" s="8">
        <v>63.0</v>
      </c>
      <c r="H415" s="9">
        <v>1.0</v>
      </c>
      <c r="I415" s="8">
        <v>25.0</v>
      </c>
      <c r="J415" s="9" t="s">
        <v>35</v>
      </c>
      <c r="K415" s="9" t="s">
        <v>16</v>
      </c>
      <c r="L415" s="9">
        <v>0.0</v>
      </c>
      <c r="M415" s="22" t="str">
        <f t="shared" si="2"/>
        <v>OK</v>
      </c>
      <c r="N415" s="19">
        <f t="shared" si="3"/>
        <v>0.8</v>
      </c>
      <c r="R415" s="14"/>
      <c r="S415" s="8"/>
      <c r="U415" s="14"/>
      <c r="V415" s="9"/>
    </row>
    <row r="416">
      <c r="A416" s="20" t="s">
        <v>848</v>
      </c>
      <c r="B416" s="20" t="s">
        <v>849</v>
      </c>
      <c r="C416" s="21">
        <v>45147.0</v>
      </c>
      <c r="D416" s="21">
        <v>45159.0</v>
      </c>
      <c r="E416" s="9" t="s">
        <v>38</v>
      </c>
      <c r="F416" s="8">
        <v>4.1</v>
      </c>
      <c r="G416" s="8">
        <v>57.0</v>
      </c>
      <c r="H416" s="9">
        <v>0.0</v>
      </c>
      <c r="I416" s="8">
        <v>35.0</v>
      </c>
      <c r="J416" s="9" t="s">
        <v>35</v>
      </c>
      <c r="K416" s="9" t="s">
        <v>16</v>
      </c>
      <c r="L416" s="9">
        <v>0.0</v>
      </c>
      <c r="M416" s="22" t="str">
        <f t="shared" si="2"/>
        <v>OK</v>
      </c>
      <c r="N416" s="19">
        <f t="shared" si="3"/>
        <v>4.1</v>
      </c>
      <c r="R416" s="14"/>
      <c r="S416" s="8"/>
      <c r="U416" s="14"/>
      <c r="V416" s="9"/>
    </row>
    <row r="417">
      <c r="A417" s="20" t="s">
        <v>850</v>
      </c>
      <c r="B417" s="20" t="s">
        <v>851</v>
      </c>
      <c r="C417" s="21">
        <v>45221.0</v>
      </c>
      <c r="D417" s="21">
        <v>45233.0</v>
      </c>
      <c r="E417" s="9" t="s">
        <v>14</v>
      </c>
      <c r="F417" s="8">
        <v>2.5</v>
      </c>
      <c r="G417" s="8">
        <v>26.0</v>
      </c>
      <c r="H417" s="9">
        <v>1.0</v>
      </c>
      <c r="I417" s="8">
        <v>18.0</v>
      </c>
      <c r="J417" s="9" t="s">
        <v>35</v>
      </c>
      <c r="K417" s="9" t="s">
        <v>47</v>
      </c>
      <c r="L417" s="9">
        <v>1.0</v>
      </c>
      <c r="M417" s="22" t="str">
        <f t="shared" si="2"/>
        <v>OK</v>
      </c>
      <c r="N417" s="19">
        <f t="shared" si="3"/>
        <v>2.5</v>
      </c>
      <c r="R417" s="14"/>
      <c r="S417" s="8"/>
      <c r="U417" s="14"/>
      <c r="V417" s="9"/>
    </row>
    <row r="418">
      <c r="A418" s="20" t="s">
        <v>852</v>
      </c>
      <c r="B418" s="20" t="s">
        <v>853</v>
      </c>
      <c r="C418" s="21">
        <v>44963.0</v>
      </c>
      <c r="D418" s="21">
        <v>44975.0</v>
      </c>
      <c r="E418" s="9" t="s">
        <v>14</v>
      </c>
      <c r="F418" s="8">
        <v>3.9</v>
      </c>
      <c r="G418" s="8">
        <v>10.0</v>
      </c>
      <c r="H418" s="9">
        <v>0.0</v>
      </c>
      <c r="I418" s="8">
        <v>40.0</v>
      </c>
      <c r="J418" s="9" t="s">
        <v>19</v>
      </c>
      <c r="K418" s="9" t="s">
        <v>47</v>
      </c>
      <c r="L418" s="9">
        <v>1.0</v>
      </c>
      <c r="M418" s="22" t="str">
        <f t="shared" si="2"/>
        <v>OK</v>
      </c>
      <c r="N418" s="19">
        <f t="shared" si="3"/>
        <v>3.9</v>
      </c>
      <c r="R418" s="14"/>
      <c r="S418" s="8"/>
      <c r="U418" s="14"/>
      <c r="V418" s="9"/>
    </row>
    <row r="419">
      <c r="A419" s="20" t="s">
        <v>854</v>
      </c>
      <c r="B419" s="20" t="s">
        <v>855</v>
      </c>
      <c r="C419" s="21">
        <v>44960.0</v>
      </c>
      <c r="D419" s="21">
        <v>44972.0</v>
      </c>
      <c r="E419" s="9" t="s">
        <v>38</v>
      </c>
      <c r="F419" s="8">
        <v>2.2</v>
      </c>
      <c r="G419" s="8">
        <v>32.0</v>
      </c>
      <c r="H419" s="9">
        <v>1.0</v>
      </c>
      <c r="I419" s="8">
        <v>23.0</v>
      </c>
      <c r="J419" s="9" t="s">
        <v>23</v>
      </c>
      <c r="K419" s="9" t="s">
        <v>26</v>
      </c>
      <c r="L419" s="9">
        <v>0.0</v>
      </c>
      <c r="M419" s="22" t="str">
        <f t="shared" si="2"/>
        <v>OK</v>
      </c>
      <c r="N419" s="19">
        <f t="shared" si="3"/>
        <v>2.2</v>
      </c>
      <c r="R419" s="14"/>
      <c r="S419" s="8"/>
      <c r="U419" s="14"/>
      <c r="V419" s="9"/>
    </row>
    <row r="420">
      <c r="A420" s="20" t="s">
        <v>856</v>
      </c>
      <c r="B420" s="20" t="s">
        <v>857</v>
      </c>
      <c r="C420" s="21">
        <v>45026.0</v>
      </c>
      <c r="D420" s="21">
        <v>45038.0</v>
      </c>
      <c r="E420" s="9" t="s">
        <v>22</v>
      </c>
      <c r="F420" s="8">
        <v>3.5</v>
      </c>
      <c r="G420" s="8">
        <v>17.0</v>
      </c>
      <c r="H420" s="9">
        <v>1.0</v>
      </c>
      <c r="I420" s="8">
        <v>49.0</v>
      </c>
      <c r="J420" s="9" t="s">
        <v>19</v>
      </c>
      <c r="K420" s="9" t="s">
        <v>47</v>
      </c>
      <c r="L420" s="9">
        <v>0.0</v>
      </c>
      <c r="M420" s="22" t="str">
        <f t="shared" si="2"/>
        <v>OK</v>
      </c>
      <c r="N420" s="19">
        <f t="shared" si="3"/>
        <v>3.5</v>
      </c>
      <c r="R420" s="14"/>
      <c r="S420" s="8"/>
      <c r="U420" s="14"/>
      <c r="V420" s="9"/>
    </row>
    <row r="421">
      <c r="A421" s="20" t="s">
        <v>858</v>
      </c>
      <c r="B421" s="20" t="s">
        <v>859</v>
      </c>
      <c r="C421" s="21">
        <v>45032.0</v>
      </c>
      <c r="D421" s="21">
        <v>45044.0</v>
      </c>
      <c r="E421" s="9" t="s">
        <v>22</v>
      </c>
      <c r="F421" s="8">
        <v>2.0</v>
      </c>
      <c r="G421" s="8">
        <v>38.0</v>
      </c>
      <c r="H421" s="9">
        <v>0.0</v>
      </c>
      <c r="I421" s="8">
        <v>13.0</v>
      </c>
      <c r="J421" s="9" t="s">
        <v>19</v>
      </c>
      <c r="K421" s="9" t="s">
        <v>47</v>
      </c>
      <c r="L421" s="9">
        <v>0.0</v>
      </c>
      <c r="M421" s="22" t="str">
        <f t="shared" si="2"/>
        <v>OK</v>
      </c>
      <c r="N421" s="19">
        <f t="shared" si="3"/>
        <v>2</v>
      </c>
      <c r="R421" s="14"/>
      <c r="S421" s="8"/>
      <c r="U421" s="14"/>
      <c r="V421" s="9"/>
    </row>
    <row r="422">
      <c r="A422" s="20" t="s">
        <v>860</v>
      </c>
      <c r="B422" s="20" t="s">
        <v>861</v>
      </c>
      <c r="C422" s="21">
        <v>45045.0</v>
      </c>
      <c r="D422" s="21">
        <v>45057.0</v>
      </c>
      <c r="E422" s="9" t="s">
        <v>14</v>
      </c>
      <c r="F422" s="8">
        <v>4.9</v>
      </c>
      <c r="G422" s="8">
        <v>14.0</v>
      </c>
      <c r="H422" s="9">
        <v>1.0</v>
      </c>
      <c r="I422" s="8">
        <v>32.0</v>
      </c>
      <c r="J422" s="9" t="s">
        <v>15</v>
      </c>
      <c r="K422" s="9" t="s">
        <v>16</v>
      </c>
      <c r="L422" s="9">
        <v>1.0</v>
      </c>
      <c r="M422" s="22" t="str">
        <f t="shared" si="2"/>
        <v>OK</v>
      </c>
      <c r="N422" s="19">
        <f t="shared" si="3"/>
        <v>4.9</v>
      </c>
      <c r="R422" s="14"/>
      <c r="S422" s="8"/>
      <c r="U422" s="14"/>
      <c r="V422" s="9"/>
    </row>
    <row r="423">
      <c r="A423" s="20" t="s">
        <v>862</v>
      </c>
      <c r="B423" s="20" t="s">
        <v>863</v>
      </c>
      <c r="C423" s="21">
        <v>44953.0</v>
      </c>
      <c r="D423" s="21">
        <v>44965.0</v>
      </c>
      <c r="E423" s="9" t="s">
        <v>38</v>
      </c>
      <c r="F423" s="8">
        <v>0.6</v>
      </c>
      <c r="G423" s="8">
        <v>76.0</v>
      </c>
      <c r="H423" s="9">
        <v>0.0</v>
      </c>
      <c r="I423" s="8">
        <v>22.0</v>
      </c>
      <c r="J423" s="9" t="s">
        <v>19</v>
      </c>
      <c r="K423" s="9" t="s">
        <v>26</v>
      </c>
      <c r="L423" s="9">
        <v>0.0</v>
      </c>
      <c r="M423" s="22" t="str">
        <f t="shared" si="2"/>
        <v>OK</v>
      </c>
      <c r="N423" s="19">
        <f t="shared" si="3"/>
        <v>0.6</v>
      </c>
      <c r="R423" s="14"/>
      <c r="S423" s="8"/>
      <c r="U423" s="14"/>
      <c r="V423" s="9"/>
    </row>
    <row r="424">
      <c r="A424" s="20" t="s">
        <v>864</v>
      </c>
      <c r="B424" s="20" t="s">
        <v>865</v>
      </c>
      <c r="C424" s="21">
        <v>45229.0</v>
      </c>
      <c r="D424" s="21">
        <v>45241.0</v>
      </c>
      <c r="E424" s="9" t="s">
        <v>22</v>
      </c>
      <c r="F424" s="8">
        <v>2.8</v>
      </c>
      <c r="G424" s="8">
        <v>42.0</v>
      </c>
      <c r="H424" s="9">
        <v>1.0</v>
      </c>
      <c r="I424" s="8">
        <v>38.0</v>
      </c>
      <c r="J424" s="9" t="s">
        <v>15</v>
      </c>
      <c r="K424" s="9" t="s">
        <v>16</v>
      </c>
      <c r="L424" s="9">
        <v>0.0</v>
      </c>
      <c r="M424" s="22" t="str">
        <f t="shared" si="2"/>
        <v>OK</v>
      </c>
      <c r="N424" s="19">
        <f t="shared" si="3"/>
        <v>2.8</v>
      </c>
      <c r="R424" s="14"/>
      <c r="S424" s="8"/>
      <c r="U424" s="14"/>
      <c r="V424" s="9"/>
    </row>
    <row r="425">
      <c r="A425" s="20" t="s">
        <v>866</v>
      </c>
      <c r="B425" s="20" t="s">
        <v>867</v>
      </c>
      <c r="C425" s="21">
        <v>44945.0</v>
      </c>
      <c r="D425" s="21">
        <v>44957.0</v>
      </c>
      <c r="E425" s="9" t="s">
        <v>29</v>
      </c>
      <c r="F425" s="8">
        <v>4.2</v>
      </c>
      <c r="G425" s="8">
        <v>68.0</v>
      </c>
      <c r="H425" s="9">
        <v>1.0</v>
      </c>
      <c r="I425" s="8">
        <v>36.0</v>
      </c>
      <c r="J425" s="9" t="s">
        <v>19</v>
      </c>
      <c r="K425" s="9" t="s">
        <v>16</v>
      </c>
      <c r="L425" s="9">
        <v>1.0</v>
      </c>
      <c r="M425" s="22" t="str">
        <f t="shared" si="2"/>
        <v>OK</v>
      </c>
      <c r="N425" s="19">
        <f t="shared" si="3"/>
        <v>4.2</v>
      </c>
      <c r="R425" s="14"/>
      <c r="S425" s="8"/>
      <c r="U425" s="14"/>
      <c r="V425" s="9"/>
    </row>
    <row r="426">
      <c r="A426" s="20" t="s">
        <v>868</v>
      </c>
      <c r="B426" s="20" t="s">
        <v>869</v>
      </c>
      <c r="C426" s="21">
        <v>45143.0</v>
      </c>
      <c r="D426" s="21">
        <v>45155.0</v>
      </c>
      <c r="E426" s="9" t="s">
        <v>38</v>
      </c>
      <c r="F426" s="8">
        <v>0.7</v>
      </c>
      <c r="G426" s="8">
        <v>81.0</v>
      </c>
      <c r="H426" s="9">
        <v>1.0</v>
      </c>
      <c r="I426" s="8">
        <v>53.0</v>
      </c>
      <c r="J426" s="9" t="s">
        <v>23</v>
      </c>
      <c r="K426" s="9" t="s">
        <v>16</v>
      </c>
      <c r="L426" s="9">
        <v>1.0</v>
      </c>
      <c r="M426" s="22" t="str">
        <f t="shared" si="2"/>
        <v>OK</v>
      </c>
      <c r="N426" s="19">
        <f t="shared" si="3"/>
        <v>0.7</v>
      </c>
      <c r="R426" s="14"/>
      <c r="S426" s="8"/>
      <c r="U426" s="14"/>
      <c r="V426" s="9"/>
    </row>
    <row r="427">
      <c r="A427" s="20" t="s">
        <v>870</v>
      </c>
      <c r="B427" s="20" t="s">
        <v>871</v>
      </c>
      <c r="C427" s="21">
        <v>45271.0</v>
      </c>
      <c r="D427" s="21">
        <v>45283.0</v>
      </c>
      <c r="E427" s="9" t="s">
        <v>22</v>
      </c>
      <c r="F427" s="8">
        <v>2.6</v>
      </c>
      <c r="G427" s="8">
        <v>87.0</v>
      </c>
      <c r="H427" s="9">
        <v>1.0</v>
      </c>
      <c r="I427" s="8">
        <v>50.0</v>
      </c>
      <c r="J427" s="9" t="s">
        <v>23</v>
      </c>
      <c r="K427" s="9" t="s">
        <v>26</v>
      </c>
      <c r="L427" s="9">
        <v>1.0</v>
      </c>
      <c r="M427" s="22" t="str">
        <f t="shared" si="2"/>
        <v>OK</v>
      </c>
      <c r="N427" s="19">
        <f t="shared" si="3"/>
        <v>2.6</v>
      </c>
      <c r="R427" s="14"/>
      <c r="S427" s="8"/>
      <c r="U427" s="14"/>
      <c r="V427" s="9"/>
    </row>
    <row r="428">
      <c r="A428" s="20" t="s">
        <v>872</v>
      </c>
      <c r="B428" s="20" t="s">
        <v>873</v>
      </c>
      <c r="C428" s="21">
        <v>45147.0</v>
      </c>
      <c r="D428" s="21">
        <v>45159.0</v>
      </c>
      <c r="E428" s="9" t="s">
        <v>22</v>
      </c>
      <c r="F428" s="8">
        <v>4.8</v>
      </c>
      <c r="G428" s="8">
        <v>2.0</v>
      </c>
      <c r="H428" s="9">
        <v>1.0</v>
      </c>
      <c r="I428" s="8">
        <v>37.0</v>
      </c>
      <c r="J428" s="9" t="s">
        <v>15</v>
      </c>
      <c r="K428" s="9" t="s">
        <v>26</v>
      </c>
      <c r="L428" s="9">
        <v>1.0</v>
      </c>
      <c r="M428" s="22" t="str">
        <f t="shared" si="2"/>
        <v>OK</v>
      </c>
      <c r="N428" s="19">
        <f t="shared" si="3"/>
        <v>4.8</v>
      </c>
      <c r="R428" s="14"/>
      <c r="S428" s="8"/>
      <c r="U428" s="14"/>
      <c r="V428" s="9"/>
    </row>
    <row r="429">
      <c r="A429" s="20" t="s">
        <v>874</v>
      </c>
      <c r="B429" s="20" t="s">
        <v>875</v>
      </c>
      <c r="C429" s="21">
        <v>44968.0</v>
      </c>
      <c r="D429" s="21">
        <v>44980.0</v>
      </c>
      <c r="E429" s="9" t="s">
        <v>38</v>
      </c>
      <c r="F429" s="8">
        <v>1.7</v>
      </c>
      <c r="G429" s="8">
        <v>9.0</v>
      </c>
      <c r="H429" s="9">
        <v>0.0</v>
      </c>
      <c r="I429" s="8">
        <v>34.0</v>
      </c>
      <c r="J429" s="9" t="s">
        <v>19</v>
      </c>
      <c r="K429" s="9" t="s">
        <v>47</v>
      </c>
      <c r="L429" s="9">
        <v>1.0</v>
      </c>
      <c r="M429" s="22" t="str">
        <f t="shared" si="2"/>
        <v>OK</v>
      </c>
      <c r="N429" s="19">
        <f t="shared" si="3"/>
        <v>1.7</v>
      </c>
      <c r="R429" s="14"/>
      <c r="S429" s="8"/>
      <c r="U429" s="14"/>
      <c r="V429" s="9"/>
    </row>
    <row r="430">
      <c r="A430" s="20" t="s">
        <v>876</v>
      </c>
      <c r="B430" s="20" t="s">
        <v>877</v>
      </c>
      <c r="C430" s="21">
        <v>45202.0</v>
      </c>
      <c r="D430" s="21">
        <v>45214.0</v>
      </c>
      <c r="E430" s="9" t="s">
        <v>14</v>
      </c>
      <c r="F430" s="8">
        <v>1.5</v>
      </c>
      <c r="G430" s="8">
        <v>19.0</v>
      </c>
      <c r="H430" s="9">
        <v>1.0</v>
      </c>
      <c r="I430" s="8">
        <v>20.0</v>
      </c>
      <c r="J430" s="9" t="s">
        <v>23</v>
      </c>
      <c r="K430" s="9" t="s">
        <v>26</v>
      </c>
      <c r="L430" s="9">
        <v>0.0</v>
      </c>
      <c r="M430" s="22" t="str">
        <f t="shared" si="2"/>
        <v>OK</v>
      </c>
      <c r="N430" s="19">
        <f t="shared" si="3"/>
        <v>1.5</v>
      </c>
      <c r="R430" s="14"/>
      <c r="S430" s="8"/>
      <c r="U430" s="14"/>
      <c r="V430" s="9"/>
    </row>
    <row r="431">
      <c r="A431" s="20" t="s">
        <v>878</v>
      </c>
      <c r="B431" s="20" t="s">
        <v>879</v>
      </c>
      <c r="C431" s="21">
        <v>45185.0</v>
      </c>
      <c r="D431" s="21">
        <v>45197.0</v>
      </c>
      <c r="E431" s="9" t="s">
        <v>29</v>
      </c>
      <c r="F431" s="8">
        <v>0.9</v>
      </c>
      <c r="G431" s="8">
        <v>74.0</v>
      </c>
      <c r="H431" s="9">
        <v>1.0</v>
      </c>
      <c r="I431" s="8">
        <v>47.0</v>
      </c>
      <c r="J431" s="9" t="s">
        <v>19</v>
      </c>
      <c r="K431" s="9" t="s">
        <v>16</v>
      </c>
      <c r="L431" s="9">
        <v>1.0</v>
      </c>
      <c r="M431" s="22" t="str">
        <f t="shared" si="2"/>
        <v>OK</v>
      </c>
      <c r="N431" s="19">
        <f t="shared" si="3"/>
        <v>0.9</v>
      </c>
      <c r="R431" s="14"/>
      <c r="S431" s="8"/>
      <c r="U431" s="14"/>
      <c r="V431" s="9"/>
    </row>
    <row r="432">
      <c r="A432" s="20" t="s">
        <v>880</v>
      </c>
      <c r="B432" s="20" t="s">
        <v>881</v>
      </c>
      <c r="C432" s="21">
        <v>45225.0</v>
      </c>
      <c r="D432" s="21">
        <v>45237.0</v>
      </c>
      <c r="E432" s="9" t="s">
        <v>22</v>
      </c>
      <c r="F432" s="8">
        <v>2.9</v>
      </c>
      <c r="G432" s="8">
        <v>95.0</v>
      </c>
      <c r="H432" s="9">
        <v>0.0</v>
      </c>
      <c r="I432" s="8">
        <v>48.0</v>
      </c>
      <c r="J432" s="9" t="s">
        <v>23</v>
      </c>
      <c r="K432" s="9" t="s">
        <v>47</v>
      </c>
      <c r="L432" s="9">
        <v>0.0</v>
      </c>
      <c r="M432" s="22" t="str">
        <f t="shared" si="2"/>
        <v>OK</v>
      </c>
      <c r="N432" s="19">
        <f t="shared" si="3"/>
        <v>2.9</v>
      </c>
      <c r="R432" s="14"/>
      <c r="S432" s="8"/>
      <c r="U432" s="14"/>
      <c r="V432" s="9"/>
    </row>
    <row r="433">
      <c r="A433" s="20" t="s">
        <v>882</v>
      </c>
      <c r="B433" s="20" t="s">
        <v>883</v>
      </c>
      <c r="C433" s="21">
        <v>44976.0</v>
      </c>
      <c r="D433" s="21">
        <v>44988.0</v>
      </c>
      <c r="E433" s="9" t="s">
        <v>22</v>
      </c>
      <c r="F433" s="8">
        <v>1.9</v>
      </c>
      <c r="G433" s="8">
        <v>88.0</v>
      </c>
      <c r="H433" s="9">
        <v>1.0</v>
      </c>
      <c r="I433" s="8">
        <v>54.0</v>
      </c>
      <c r="J433" s="9" t="s">
        <v>35</v>
      </c>
      <c r="K433" s="9" t="s">
        <v>26</v>
      </c>
      <c r="L433" s="9">
        <v>1.0</v>
      </c>
      <c r="M433" s="22" t="str">
        <f t="shared" si="2"/>
        <v>OK</v>
      </c>
      <c r="N433" s="19">
        <f t="shared" si="3"/>
        <v>1.9</v>
      </c>
      <c r="R433" s="14"/>
      <c r="S433" s="8"/>
      <c r="U433" s="14"/>
      <c r="V433" s="9"/>
    </row>
    <row r="434">
      <c r="A434" s="20" t="s">
        <v>884</v>
      </c>
      <c r="B434" s="20" t="s">
        <v>885</v>
      </c>
      <c r="C434" s="21">
        <v>45177.0</v>
      </c>
      <c r="D434" s="21">
        <v>45189.0</v>
      </c>
      <c r="E434" s="9" t="s">
        <v>14</v>
      </c>
      <c r="F434" s="8">
        <v>2.3</v>
      </c>
      <c r="G434" s="8">
        <v>41.0</v>
      </c>
      <c r="H434" s="9">
        <v>0.0</v>
      </c>
      <c r="I434" s="8">
        <v>46.0</v>
      </c>
      <c r="J434" s="9" t="s">
        <v>35</v>
      </c>
      <c r="K434" s="9" t="s">
        <v>26</v>
      </c>
      <c r="L434" s="9">
        <v>1.0</v>
      </c>
      <c r="M434" s="22" t="str">
        <f t="shared" si="2"/>
        <v>OK</v>
      </c>
      <c r="N434" s="19">
        <f t="shared" si="3"/>
        <v>2.3</v>
      </c>
      <c r="R434" s="14"/>
      <c r="S434" s="8"/>
      <c r="U434" s="14"/>
      <c r="V434" s="9"/>
    </row>
    <row r="435">
      <c r="A435" s="20" t="s">
        <v>886</v>
      </c>
      <c r="B435" s="20" t="s">
        <v>887</v>
      </c>
      <c r="C435" s="21">
        <v>45084.0</v>
      </c>
      <c r="D435" s="21">
        <v>45096.0</v>
      </c>
      <c r="E435" s="9" t="s">
        <v>22</v>
      </c>
      <c r="F435" s="8">
        <v>1.8</v>
      </c>
      <c r="G435" s="8">
        <v>18.0</v>
      </c>
      <c r="H435" s="9">
        <v>0.0</v>
      </c>
      <c r="I435" s="8">
        <v>12.0</v>
      </c>
      <c r="J435" s="9" t="s">
        <v>19</v>
      </c>
      <c r="K435" s="9" t="s">
        <v>16</v>
      </c>
      <c r="L435" s="9">
        <v>1.0</v>
      </c>
      <c r="M435" s="22" t="str">
        <f t="shared" si="2"/>
        <v>OK</v>
      </c>
      <c r="N435" s="19">
        <f t="shared" si="3"/>
        <v>1.8</v>
      </c>
      <c r="R435" s="14"/>
      <c r="S435" s="8"/>
      <c r="U435" s="14"/>
      <c r="V435" s="9"/>
    </row>
    <row r="436">
      <c r="A436" s="20" t="s">
        <v>888</v>
      </c>
      <c r="B436" s="20" t="s">
        <v>889</v>
      </c>
      <c r="C436" s="21">
        <v>45204.0</v>
      </c>
      <c r="D436" s="21">
        <v>45216.0</v>
      </c>
      <c r="E436" s="9" t="s">
        <v>38</v>
      </c>
      <c r="F436" s="8">
        <v>0.1</v>
      </c>
      <c r="G436" s="8">
        <v>37.0</v>
      </c>
      <c r="H436" s="9">
        <v>1.0</v>
      </c>
      <c r="I436" s="8">
        <v>14.0</v>
      </c>
      <c r="J436" s="9" t="s">
        <v>32</v>
      </c>
      <c r="K436" s="9" t="s">
        <v>47</v>
      </c>
      <c r="L436" s="9">
        <v>1.0</v>
      </c>
      <c r="M436" s="22" t="str">
        <f t="shared" si="2"/>
        <v>OK</v>
      </c>
      <c r="N436" s="19">
        <f t="shared" si="3"/>
        <v>0.1</v>
      </c>
      <c r="R436" s="14"/>
      <c r="S436" s="8"/>
      <c r="U436" s="14"/>
      <c r="V436" s="9"/>
    </row>
    <row r="437">
      <c r="A437" s="20" t="s">
        <v>890</v>
      </c>
      <c r="B437" s="20" t="s">
        <v>891</v>
      </c>
      <c r="C437" s="21">
        <v>45136.0</v>
      </c>
      <c r="D437" s="21">
        <v>45148.0</v>
      </c>
      <c r="E437" s="9" t="s">
        <v>38</v>
      </c>
      <c r="F437" s="8">
        <v>1.3</v>
      </c>
      <c r="G437" s="8">
        <v>8.0</v>
      </c>
      <c r="H437" s="9">
        <v>1.0</v>
      </c>
      <c r="I437" s="8">
        <v>15.0</v>
      </c>
      <c r="J437" s="9" t="s">
        <v>19</v>
      </c>
      <c r="K437" s="9" t="s">
        <v>26</v>
      </c>
      <c r="L437" s="9">
        <v>1.0</v>
      </c>
      <c r="M437" s="22" t="str">
        <f t="shared" si="2"/>
        <v>OK</v>
      </c>
      <c r="N437" s="19">
        <f t="shared" si="3"/>
        <v>1.3</v>
      </c>
      <c r="R437" s="14"/>
      <c r="S437" s="8"/>
      <c r="U437" s="14"/>
      <c r="V437" s="9"/>
    </row>
    <row r="438">
      <c r="A438" s="20" t="s">
        <v>892</v>
      </c>
      <c r="B438" s="20" t="s">
        <v>893</v>
      </c>
      <c r="C438" s="21">
        <v>45272.0</v>
      </c>
      <c r="D438" s="21">
        <v>45284.0</v>
      </c>
      <c r="E438" s="9" t="s">
        <v>29</v>
      </c>
      <c r="F438" s="8">
        <v>3.6</v>
      </c>
      <c r="G438" s="8">
        <v>82.0</v>
      </c>
      <c r="H438" s="9">
        <v>1.0</v>
      </c>
      <c r="I438" s="8">
        <v>33.0</v>
      </c>
      <c r="J438" s="9" t="s">
        <v>23</v>
      </c>
      <c r="K438" s="9" t="s">
        <v>47</v>
      </c>
      <c r="L438" s="9">
        <v>1.0</v>
      </c>
      <c r="M438" s="22" t="str">
        <f t="shared" si="2"/>
        <v>OK</v>
      </c>
      <c r="N438" s="19">
        <f t="shared" si="3"/>
        <v>3.6</v>
      </c>
      <c r="R438" s="14"/>
      <c r="S438" s="8"/>
      <c r="U438" s="14"/>
      <c r="V438" s="9"/>
    </row>
    <row r="439">
      <c r="A439" s="20" t="s">
        <v>894</v>
      </c>
      <c r="B439" s="20" t="s">
        <v>895</v>
      </c>
      <c r="C439" s="21">
        <v>45005.0</v>
      </c>
      <c r="D439" s="21">
        <v>45017.0</v>
      </c>
      <c r="E439" s="9" t="s">
        <v>29</v>
      </c>
      <c r="F439" s="8">
        <v>0.2</v>
      </c>
      <c r="G439" s="8">
        <v>39.0</v>
      </c>
      <c r="H439" s="9">
        <v>0.0</v>
      </c>
      <c r="I439" s="8">
        <v>30.0</v>
      </c>
      <c r="J439" s="9" t="s">
        <v>32</v>
      </c>
      <c r="K439" s="9" t="s">
        <v>16</v>
      </c>
      <c r="L439" s="9">
        <v>1.0</v>
      </c>
      <c r="M439" s="22" t="str">
        <f t="shared" si="2"/>
        <v>OK</v>
      </c>
      <c r="N439" s="19">
        <f t="shared" si="3"/>
        <v>0.2</v>
      </c>
      <c r="R439" s="14"/>
      <c r="S439" s="8"/>
      <c r="U439" s="14"/>
      <c r="V439" s="9"/>
    </row>
    <row r="440">
      <c r="A440" s="20" t="s">
        <v>896</v>
      </c>
      <c r="B440" s="20" t="s">
        <v>897</v>
      </c>
      <c r="C440" s="21">
        <v>45013.0</v>
      </c>
      <c r="D440" s="21">
        <v>45025.0</v>
      </c>
      <c r="E440" s="9" t="s">
        <v>38</v>
      </c>
      <c r="F440" s="8">
        <v>1.0</v>
      </c>
      <c r="G440" s="8">
        <v>35.0</v>
      </c>
      <c r="H440" s="9">
        <v>0.0</v>
      </c>
      <c r="I440" s="8">
        <v>43.0</v>
      </c>
      <c r="J440" s="9" t="s">
        <v>32</v>
      </c>
      <c r="K440" s="9" t="s">
        <v>47</v>
      </c>
      <c r="L440" s="9">
        <v>1.0</v>
      </c>
      <c r="M440" s="22" t="str">
        <f t="shared" si="2"/>
        <v>OK</v>
      </c>
      <c r="N440" s="19">
        <f t="shared" si="3"/>
        <v>1</v>
      </c>
      <c r="R440" s="14"/>
      <c r="S440" s="8"/>
      <c r="U440" s="14"/>
      <c r="V440" s="9"/>
    </row>
    <row r="441">
      <c r="A441" s="20" t="s">
        <v>898</v>
      </c>
      <c r="B441" s="20" t="s">
        <v>899</v>
      </c>
      <c r="C441" s="21">
        <v>45134.0</v>
      </c>
      <c r="D441" s="21">
        <v>45146.0</v>
      </c>
      <c r="E441" s="9" t="s">
        <v>14</v>
      </c>
      <c r="F441" s="8">
        <v>0.3</v>
      </c>
      <c r="G441" s="8">
        <v>54.0</v>
      </c>
      <c r="H441" s="9">
        <v>1.0</v>
      </c>
      <c r="I441" s="8">
        <v>16.0</v>
      </c>
      <c r="J441" s="9" t="s">
        <v>19</v>
      </c>
      <c r="K441" s="9" t="s">
        <v>47</v>
      </c>
      <c r="L441" s="9">
        <v>1.0</v>
      </c>
      <c r="M441" s="22" t="str">
        <f t="shared" si="2"/>
        <v>OK</v>
      </c>
      <c r="N441" s="19">
        <f t="shared" si="3"/>
        <v>0.3</v>
      </c>
      <c r="R441" s="14"/>
      <c r="S441" s="8"/>
      <c r="U441" s="14"/>
      <c r="V441" s="9"/>
    </row>
    <row r="442">
      <c r="A442" s="20" t="s">
        <v>900</v>
      </c>
      <c r="B442" s="20" t="s">
        <v>901</v>
      </c>
      <c r="C442" s="21">
        <v>45169.0</v>
      </c>
      <c r="D442" s="21">
        <v>45181.0</v>
      </c>
      <c r="E442" s="9" t="s">
        <v>22</v>
      </c>
      <c r="F442" s="8">
        <v>1.6</v>
      </c>
      <c r="G442" s="8">
        <v>46.0</v>
      </c>
      <c r="H442" s="9">
        <v>0.0</v>
      </c>
      <c r="I442" s="8">
        <v>45.0</v>
      </c>
      <c r="J442" s="9" t="s">
        <v>15</v>
      </c>
      <c r="K442" s="9" t="s">
        <v>47</v>
      </c>
      <c r="L442" s="9">
        <v>1.0</v>
      </c>
      <c r="M442" s="22" t="str">
        <f t="shared" si="2"/>
        <v>OK</v>
      </c>
      <c r="N442" s="19">
        <f t="shared" si="3"/>
        <v>1.6</v>
      </c>
      <c r="R442" s="14"/>
      <c r="S442" s="8"/>
      <c r="U442" s="14"/>
      <c r="V442" s="9"/>
    </row>
    <row r="443">
      <c r="A443" s="20" t="s">
        <v>902</v>
      </c>
      <c r="B443" s="20" t="s">
        <v>903</v>
      </c>
      <c r="C443" s="21">
        <v>45237.0</v>
      </c>
      <c r="D443" s="21">
        <v>45249.0</v>
      </c>
      <c r="E443" s="9" t="s">
        <v>29</v>
      </c>
      <c r="F443" s="8">
        <v>3.7</v>
      </c>
      <c r="G443" s="8">
        <v>5.0</v>
      </c>
      <c r="H443" s="9">
        <v>1.0</v>
      </c>
      <c r="I443" s="8">
        <v>21.0</v>
      </c>
      <c r="J443" s="9" t="s">
        <v>23</v>
      </c>
      <c r="K443" s="9" t="s">
        <v>47</v>
      </c>
      <c r="L443" s="9">
        <v>1.0</v>
      </c>
      <c r="M443" s="22" t="str">
        <f t="shared" si="2"/>
        <v>OK</v>
      </c>
      <c r="N443" s="19">
        <f t="shared" si="3"/>
        <v>3.7</v>
      </c>
      <c r="R443" s="14"/>
      <c r="S443" s="8"/>
      <c r="U443" s="14"/>
      <c r="V443" s="9"/>
    </row>
    <row r="444">
      <c r="A444" s="20" t="s">
        <v>904</v>
      </c>
      <c r="B444" s="20" t="s">
        <v>905</v>
      </c>
      <c r="C444" s="21">
        <v>45207.0</v>
      </c>
      <c r="D444" s="21">
        <v>45219.0</v>
      </c>
      <c r="E444" s="9" t="s">
        <v>38</v>
      </c>
      <c r="F444" s="8">
        <v>1.4</v>
      </c>
      <c r="G444" s="8">
        <v>78.0</v>
      </c>
      <c r="H444" s="9">
        <v>1.0</v>
      </c>
      <c r="I444" s="8">
        <v>41.0</v>
      </c>
      <c r="J444" s="9" t="s">
        <v>35</v>
      </c>
      <c r="K444" s="9" t="s">
        <v>47</v>
      </c>
      <c r="L444" s="9">
        <v>1.0</v>
      </c>
      <c r="M444" s="22" t="str">
        <f t="shared" si="2"/>
        <v>OK</v>
      </c>
      <c r="N444" s="19">
        <f t="shared" si="3"/>
        <v>1.4</v>
      </c>
      <c r="R444" s="14"/>
      <c r="S444" s="8"/>
      <c r="U444" s="14"/>
      <c r="V444" s="9"/>
    </row>
    <row r="445">
      <c r="A445" s="20" t="s">
        <v>906</v>
      </c>
      <c r="B445" s="20" t="s">
        <v>907</v>
      </c>
      <c r="C445" s="21">
        <v>45252.0</v>
      </c>
      <c r="D445" s="21">
        <v>45264.0</v>
      </c>
      <c r="E445" s="9" t="s">
        <v>22</v>
      </c>
      <c r="F445" s="8">
        <v>4.6</v>
      </c>
      <c r="G445" s="8">
        <v>62.0</v>
      </c>
      <c r="H445" s="9">
        <v>0.0</v>
      </c>
      <c r="I445" s="8">
        <v>28.0</v>
      </c>
      <c r="J445" s="9" t="s">
        <v>32</v>
      </c>
      <c r="K445" s="9" t="s">
        <v>16</v>
      </c>
      <c r="L445" s="9">
        <v>1.0</v>
      </c>
      <c r="M445" s="22" t="str">
        <f t="shared" si="2"/>
        <v>OK</v>
      </c>
      <c r="N445" s="19">
        <f t="shared" si="3"/>
        <v>4.6</v>
      </c>
      <c r="R445" s="14"/>
      <c r="S445" s="8"/>
      <c r="U445" s="14"/>
      <c r="V445" s="9"/>
    </row>
    <row r="446">
      <c r="A446" s="20" t="s">
        <v>908</v>
      </c>
      <c r="B446" s="20" t="s">
        <v>909</v>
      </c>
      <c r="C446" s="21">
        <v>45162.0</v>
      </c>
      <c r="D446" s="21">
        <v>45174.0</v>
      </c>
      <c r="E446" s="9" t="s">
        <v>29</v>
      </c>
      <c r="F446" s="8">
        <v>4.7</v>
      </c>
      <c r="G446" s="8">
        <v>6.0</v>
      </c>
      <c r="H446" s="9">
        <v>1.0</v>
      </c>
      <c r="I446" s="8">
        <v>17.0</v>
      </c>
      <c r="J446" s="9" t="s">
        <v>15</v>
      </c>
      <c r="K446" s="9" t="s">
        <v>16</v>
      </c>
      <c r="L446" s="9">
        <v>1.0</v>
      </c>
      <c r="M446" s="22" t="str">
        <f t="shared" si="2"/>
        <v>OK</v>
      </c>
      <c r="N446" s="19">
        <f t="shared" si="3"/>
        <v>4.7</v>
      </c>
      <c r="R446" s="14"/>
      <c r="S446" s="8"/>
      <c r="U446" s="14"/>
      <c r="V446" s="9"/>
    </row>
    <row r="447">
      <c r="A447" s="20" t="s">
        <v>910</v>
      </c>
      <c r="B447" s="20" t="s">
        <v>911</v>
      </c>
      <c r="C447" s="21">
        <v>44933.0</v>
      </c>
      <c r="D447" s="21">
        <v>44945.0</v>
      </c>
      <c r="E447" s="9" t="s">
        <v>29</v>
      </c>
      <c r="F447" s="8">
        <v>3.0</v>
      </c>
      <c r="G447" s="8">
        <v>69.0</v>
      </c>
      <c r="H447" s="9">
        <v>0.0</v>
      </c>
      <c r="I447" s="8">
        <v>24.0</v>
      </c>
      <c r="J447" s="9" t="s">
        <v>19</v>
      </c>
      <c r="K447" s="9" t="s">
        <v>26</v>
      </c>
      <c r="L447" s="9">
        <v>0.0</v>
      </c>
      <c r="M447" s="22" t="str">
        <f t="shared" si="2"/>
        <v>OK</v>
      </c>
      <c r="N447" s="19">
        <f t="shared" si="3"/>
        <v>3</v>
      </c>
      <c r="R447" s="14"/>
      <c r="S447" s="8"/>
      <c r="U447" s="14"/>
      <c r="V447" s="9"/>
    </row>
    <row r="448">
      <c r="A448" s="20" t="s">
        <v>912</v>
      </c>
      <c r="B448" s="20" t="s">
        <v>913</v>
      </c>
      <c r="C448" s="21">
        <v>44988.0</v>
      </c>
      <c r="D448" s="21">
        <v>45000.0</v>
      </c>
      <c r="E448" s="9" t="s">
        <v>29</v>
      </c>
      <c r="F448" s="8">
        <v>3.1</v>
      </c>
      <c r="G448" s="8">
        <v>92.0</v>
      </c>
      <c r="H448" s="9">
        <v>1.0</v>
      </c>
      <c r="I448" s="8">
        <v>26.0</v>
      </c>
      <c r="J448" s="9" t="s">
        <v>32</v>
      </c>
      <c r="K448" s="9" t="s">
        <v>16</v>
      </c>
      <c r="L448" s="9">
        <v>1.0</v>
      </c>
      <c r="M448" s="22" t="str">
        <f t="shared" si="2"/>
        <v>OK</v>
      </c>
      <c r="N448" s="19">
        <f t="shared" si="3"/>
        <v>3.1</v>
      </c>
      <c r="R448" s="14"/>
      <c r="S448" s="8"/>
      <c r="U448" s="14"/>
      <c r="V448" s="9"/>
    </row>
    <row r="449">
      <c r="A449" s="20" t="s">
        <v>914</v>
      </c>
      <c r="B449" s="20" t="s">
        <v>915</v>
      </c>
      <c r="C449" s="21">
        <v>44968.0</v>
      </c>
      <c r="D449" s="21">
        <v>44980.0</v>
      </c>
      <c r="E449" s="9" t="s">
        <v>22</v>
      </c>
      <c r="F449" s="8">
        <v>3.3</v>
      </c>
      <c r="G449" s="8">
        <v>45.0</v>
      </c>
      <c r="H449" s="9">
        <v>1.0</v>
      </c>
      <c r="I449" s="8">
        <v>56.0</v>
      </c>
      <c r="J449" s="9" t="s">
        <v>19</v>
      </c>
      <c r="K449" s="9" t="s">
        <v>26</v>
      </c>
      <c r="L449" s="9">
        <v>1.0</v>
      </c>
      <c r="M449" s="22" t="str">
        <f t="shared" si="2"/>
        <v>OK</v>
      </c>
      <c r="N449" s="19">
        <f t="shared" si="3"/>
        <v>3.3</v>
      </c>
      <c r="R449" s="14"/>
      <c r="S449" s="8"/>
      <c r="U449" s="14"/>
      <c r="V449" s="9"/>
    </row>
    <row r="450">
      <c r="A450" s="20" t="s">
        <v>916</v>
      </c>
      <c r="B450" s="20" t="s">
        <v>917</v>
      </c>
      <c r="C450" s="21">
        <v>45115.0</v>
      </c>
      <c r="D450" s="21">
        <v>45127.0</v>
      </c>
      <c r="E450" s="9" t="s">
        <v>14</v>
      </c>
      <c r="F450" s="8">
        <v>4.0</v>
      </c>
      <c r="G450" s="8">
        <v>31.0</v>
      </c>
      <c r="H450" s="9">
        <v>1.0</v>
      </c>
      <c r="I450" s="8">
        <v>19.0</v>
      </c>
      <c r="J450" s="9" t="s">
        <v>32</v>
      </c>
      <c r="K450" s="9" t="s">
        <v>47</v>
      </c>
      <c r="L450" s="9">
        <v>1.0</v>
      </c>
      <c r="M450" s="22" t="str">
        <f t="shared" si="2"/>
        <v>OK</v>
      </c>
      <c r="N450" s="19">
        <f t="shared" si="3"/>
        <v>4</v>
      </c>
      <c r="R450" s="14"/>
      <c r="S450" s="8"/>
      <c r="U450" s="14"/>
      <c r="V450" s="9"/>
    </row>
    <row r="451">
      <c r="A451" s="20" t="s">
        <v>918</v>
      </c>
      <c r="B451" s="20" t="s">
        <v>919</v>
      </c>
      <c r="C451" s="21">
        <v>45034.0</v>
      </c>
      <c r="D451" s="21">
        <v>45046.0</v>
      </c>
      <c r="E451" s="9" t="s">
        <v>29</v>
      </c>
      <c r="F451" s="8">
        <v>4.5</v>
      </c>
      <c r="G451" s="8">
        <v>13.0</v>
      </c>
      <c r="H451" s="9">
        <v>1.0</v>
      </c>
      <c r="I451" s="8">
        <v>29.0</v>
      </c>
      <c r="J451" s="9" t="s">
        <v>23</v>
      </c>
      <c r="K451" s="9" t="s">
        <v>16</v>
      </c>
      <c r="L451" s="9">
        <v>1.0</v>
      </c>
      <c r="M451" s="22" t="str">
        <f t="shared" si="2"/>
        <v>OK</v>
      </c>
      <c r="N451" s="19">
        <f t="shared" si="3"/>
        <v>4.5</v>
      </c>
      <c r="R451" s="14"/>
      <c r="S451" s="8"/>
      <c r="U451" s="14"/>
      <c r="V451" s="9"/>
    </row>
    <row r="452">
      <c r="A452" s="20" t="s">
        <v>920</v>
      </c>
      <c r="B452" s="20" t="s">
        <v>921</v>
      </c>
      <c r="C452" s="21">
        <v>45102.0</v>
      </c>
      <c r="D452" s="21">
        <v>45114.0</v>
      </c>
      <c r="E452" s="9" t="s">
        <v>22</v>
      </c>
      <c r="F452" s="8">
        <v>0.0</v>
      </c>
      <c r="G452" s="8">
        <v>83.0</v>
      </c>
      <c r="H452" s="9">
        <v>1.0</v>
      </c>
      <c r="I452" s="8">
        <v>44.0</v>
      </c>
      <c r="J452" s="9" t="s">
        <v>35</v>
      </c>
      <c r="K452" s="9" t="s">
        <v>47</v>
      </c>
      <c r="L452" s="9">
        <v>1.0</v>
      </c>
      <c r="M452" s="22" t="str">
        <f t="shared" si="2"/>
        <v>OK</v>
      </c>
      <c r="N452" s="19">
        <f t="shared" si="3"/>
        <v>0</v>
      </c>
      <c r="R452" s="14"/>
      <c r="S452" s="8"/>
      <c r="U452" s="14"/>
      <c r="V452" s="9"/>
    </row>
    <row r="453">
      <c r="A453" s="20" t="s">
        <v>922</v>
      </c>
      <c r="B453" s="20" t="s">
        <v>923</v>
      </c>
      <c r="C453" s="21">
        <v>45067.0</v>
      </c>
      <c r="D453" s="21">
        <v>45079.0</v>
      </c>
      <c r="E453" s="9" t="s">
        <v>38</v>
      </c>
      <c r="F453" s="8">
        <v>2.7</v>
      </c>
      <c r="G453" s="8">
        <v>11.0</v>
      </c>
      <c r="H453" s="9">
        <v>1.0</v>
      </c>
      <c r="I453" s="8">
        <v>51.0</v>
      </c>
      <c r="J453" s="9" t="s">
        <v>19</v>
      </c>
      <c r="K453" s="9" t="s">
        <v>26</v>
      </c>
      <c r="L453" s="9">
        <v>1.0</v>
      </c>
      <c r="M453" s="22" t="str">
        <f t="shared" si="2"/>
        <v>OK</v>
      </c>
      <c r="N453" s="19">
        <f t="shared" si="3"/>
        <v>2.7</v>
      </c>
      <c r="R453" s="14"/>
      <c r="S453" s="8"/>
      <c r="U453" s="14"/>
      <c r="V453" s="9"/>
    </row>
    <row r="454">
      <c r="A454" s="20" t="s">
        <v>924</v>
      </c>
      <c r="B454" s="20" t="s">
        <v>925</v>
      </c>
      <c r="C454" s="21">
        <v>45228.0</v>
      </c>
      <c r="D454" s="21">
        <v>45240.0</v>
      </c>
      <c r="E454" s="9" t="s">
        <v>29</v>
      </c>
      <c r="F454" s="8">
        <v>0.5</v>
      </c>
      <c r="G454" s="8">
        <v>65.0</v>
      </c>
      <c r="H454" s="9">
        <v>1.0</v>
      </c>
      <c r="I454" s="8">
        <v>44.0</v>
      </c>
      <c r="J454" s="9" t="s">
        <v>32</v>
      </c>
      <c r="K454" s="9" t="s">
        <v>16</v>
      </c>
      <c r="L454" s="9">
        <v>1.0</v>
      </c>
      <c r="M454" s="22" t="str">
        <f t="shared" si="2"/>
        <v>OK</v>
      </c>
      <c r="N454" s="19">
        <f t="shared" si="3"/>
        <v>0.5</v>
      </c>
      <c r="R454" s="14"/>
      <c r="S454" s="8"/>
      <c r="U454" s="14"/>
      <c r="V454" s="9"/>
    </row>
    <row r="455">
      <c r="A455" s="20" t="s">
        <v>926</v>
      </c>
      <c r="B455" s="20" t="s">
        <v>927</v>
      </c>
      <c r="C455" s="21">
        <v>44964.0</v>
      </c>
      <c r="D455" s="21">
        <v>44976.0</v>
      </c>
      <c r="E455" s="9" t="s">
        <v>29</v>
      </c>
      <c r="F455" s="8">
        <v>1.2</v>
      </c>
      <c r="G455" s="8">
        <v>30.0</v>
      </c>
      <c r="H455" s="9">
        <v>1.0</v>
      </c>
      <c r="I455" s="8">
        <v>46.0</v>
      </c>
      <c r="J455" s="9" t="s">
        <v>15</v>
      </c>
      <c r="K455" s="9" t="s">
        <v>16</v>
      </c>
      <c r="L455" s="9">
        <v>0.0</v>
      </c>
      <c r="M455" s="22" t="str">
        <f t="shared" si="2"/>
        <v>OK</v>
      </c>
      <c r="N455" s="19">
        <f t="shared" si="3"/>
        <v>1.2</v>
      </c>
      <c r="R455" s="14"/>
      <c r="S455" s="8"/>
      <c r="U455" s="14"/>
      <c r="V455" s="9"/>
    </row>
    <row r="456">
      <c r="A456" s="20" t="s">
        <v>928</v>
      </c>
      <c r="B456" s="20" t="s">
        <v>929</v>
      </c>
      <c r="C456" s="21">
        <v>45265.0</v>
      </c>
      <c r="D456" s="21">
        <v>45277.0</v>
      </c>
      <c r="E456" s="9" t="s">
        <v>29</v>
      </c>
      <c r="F456" s="8">
        <v>2.4</v>
      </c>
      <c r="G456" s="8">
        <v>59.0</v>
      </c>
      <c r="H456" s="9">
        <v>0.0</v>
      </c>
      <c r="I456" s="8">
        <v>17.0</v>
      </c>
      <c r="J456" s="9" t="s">
        <v>32</v>
      </c>
      <c r="K456" s="9" t="s">
        <v>26</v>
      </c>
      <c r="L456" s="9">
        <v>1.0</v>
      </c>
      <c r="M456" s="22" t="str">
        <f t="shared" si="2"/>
        <v>OK</v>
      </c>
      <c r="N456" s="19">
        <f t="shared" si="3"/>
        <v>2.4</v>
      </c>
      <c r="R456" s="14"/>
      <c r="S456" s="8"/>
      <c r="U456" s="14"/>
      <c r="V456" s="9"/>
    </row>
    <row r="457">
      <c r="A457" s="20" t="s">
        <v>930</v>
      </c>
      <c r="B457" s="20" t="s">
        <v>931</v>
      </c>
      <c r="C457" s="21">
        <v>45127.0</v>
      </c>
      <c r="D457" s="21">
        <v>45139.0</v>
      </c>
      <c r="E457" s="9" t="s">
        <v>38</v>
      </c>
      <c r="F457" s="8">
        <v>4.3</v>
      </c>
      <c r="G457" s="8">
        <v>100.0</v>
      </c>
      <c r="H457" s="9">
        <v>0.0</v>
      </c>
      <c r="I457" s="8">
        <v>25.0</v>
      </c>
      <c r="J457" s="9" t="s">
        <v>32</v>
      </c>
      <c r="K457" s="9" t="s">
        <v>26</v>
      </c>
      <c r="L457" s="9">
        <v>0.0</v>
      </c>
      <c r="M457" s="22" t="str">
        <f t="shared" si="2"/>
        <v>OK</v>
      </c>
      <c r="N457" s="19">
        <f t="shared" si="3"/>
        <v>4.3</v>
      </c>
      <c r="R457" s="14"/>
      <c r="S457" s="8"/>
      <c r="U457" s="14"/>
      <c r="V457" s="9"/>
    </row>
    <row r="458">
      <c r="A458" s="20" t="s">
        <v>932</v>
      </c>
      <c r="B458" s="20" t="s">
        <v>933</v>
      </c>
      <c r="C458" s="21">
        <v>45236.0</v>
      </c>
      <c r="D458" s="21">
        <v>45248.0</v>
      </c>
      <c r="E458" s="9" t="s">
        <v>14</v>
      </c>
      <c r="F458" s="8">
        <v>4.4</v>
      </c>
      <c r="G458" s="8">
        <v>89.0</v>
      </c>
      <c r="H458" s="9">
        <v>0.0</v>
      </c>
      <c r="I458" s="8">
        <v>50.0</v>
      </c>
      <c r="J458" s="9" t="s">
        <v>35</v>
      </c>
      <c r="K458" s="9" t="s">
        <v>16</v>
      </c>
      <c r="L458" s="9">
        <v>1.0</v>
      </c>
      <c r="M458" s="22" t="str">
        <f t="shared" si="2"/>
        <v>OK</v>
      </c>
      <c r="N458" s="19">
        <f t="shared" si="3"/>
        <v>4.4</v>
      </c>
      <c r="R458" s="14"/>
      <c r="S458" s="8"/>
      <c r="U458" s="14"/>
      <c r="V458" s="9"/>
    </row>
    <row r="459">
      <c r="A459" s="20" t="s">
        <v>934</v>
      </c>
      <c r="B459" s="20" t="s">
        <v>935</v>
      </c>
      <c r="C459" s="21">
        <v>44967.0</v>
      </c>
      <c r="D459" s="21">
        <v>44979.0</v>
      </c>
      <c r="E459" s="9" t="s">
        <v>14</v>
      </c>
      <c r="F459" s="8">
        <v>3.8</v>
      </c>
      <c r="G459" s="8">
        <v>84.0</v>
      </c>
      <c r="H459" s="9">
        <v>0.0</v>
      </c>
      <c r="I459" s="8">
        <v>36.0</v>
      </c>
      <c r="J459" s="9" t="s">
        <v>15</v>
      </c>
      <c r="K459" s="9" t="s">
        <v>16</v>
      </c>
      <c r="L459" s="9">
        <v>1.0</v>
      </c>
      <c r="M459" s="22" t="str">
        <f t="shared" si="2"/>
        <v>OK</v>
      </c>
      <c r="N459" s="19">
        <f t="shared" si="3"/>
        <v>3.8</v>
      </c>
      <c r="R459" s="14"/>
      <c r="S459" s="8"/>
      <c r="U459" s="14"/>
      <c r="V459" s="9"/>
    </row>
    <row r="460">
      <c r="A460" s="20" t="s">
        <v>936</v>
      </c>
      <c r="B460" s="20" t="s">
        <v>937</v>
      </c>
      <c r="C460" s="21">
        <v>45183.0</v>
      </c>
      <c r="D460" s="21">
        <v>45195.0</v>
      </c>
      <c r="E460" s="9" t="s">
        <v>38</v>
      </c>
      <c r="F460" s="8">
        <v>5.0</v>
      </c>
      <c r="G460" s="8">
        <v>53.0</v>
      </c>
      <c r="H460" s="9">
        <v>1.0</v>
      </c>
      <c r="I460" s="8">
        <v>18.0</v>
      </c>
      <c r="J460" s="9" t="s">
        <v>15</v>
      </c>
      <c r="K460" s="9" t="s">
        <v>26</v>
      </c>
      <c r="L460" s="9">
        <v>1.0</v>
      </c>
      <c r="M460" s="22" t="str">
        <f t="shared" si="2"/>
        <v>OK</v>
      </c>
      <c r="N460" s="19">
        <f t="shared" si="3"/>
        <v>5</v>
      </c>
      <c r="R460" s="14"/>
      <c r="S460" s="8"/>
      <c r="U460" s="14"/>
      <c r="V460" s="9"/>
    </row>
    <row r="461">
      <c r="A461" s="20" t="s">
        <v>938</v>
      </c>
      <c r="B461" s="20" t="s">
        <v>939</v>
      </c>
      <c r="C461" s="21">
        <v>45215.0</v>
      </c>
      <c r="D461" s="21">
        <v>45227.0</v>
      </c>
      <c r="E461" s="9" t="s">
        <v>38</v>
      </c>
      <c r="F461" s="8">
        <v>2.1</v>
      </c>
      <c r="G461" s="8">
        <v>0.0</v>
      </c>
      <c r="H461" s="9">
        <v>0.0</v>
      </c>
      <c r="I461" s="8">
        <v>28.0</v>
      </c>
      <c r="J461" s="9" t="s">
        <v>15</v>
      </c>
      <c r="K461" s="9" t="s">
        <v>26</v>
      </c>
      <c r="L461" s="9">
        <v>1.0</v>
      </c>
      <c r="M461" s="22" t="str">
        <f t="shared" si="2"/>
        <v>OK</v>
      </c>
      <c r="N461" s="19">
        <f t="shared" si="3"/>
        <v>2.1</v>
      </c>
      <c r="R461" s="14"/>
      <c r="S461" s="8"/>
      <c r="U461" s="14"/>
      <c r="V461" s="9"/>
    </row>
    <row r="462">
      <c r="A462" s="20" t="s">
        <v>940</v>
      </c>
      <c r="B462" s="20" t="s">
        <v>941</v>
      </c>
      <c r="C462" s="21">
        <v>45171.0</v>
      </c>
      <c r="D462" s="21">
        <v>45183.0</v>
      </c>
      <c r="E462" s="9" t="s">
        <v>38</v>
      </c>
      <c r="F462" s="8">
        <v>0.4</v>
      </c>
      <c r="G462" s="8">
        <v>97.0</v>
      </c>
      <c r="H462" s="9">
        <v>0.0</v>
      </c>
      <c r="I462" s="8">
        <v>53.0</v>
      </c>
      <c r="J462" s="9" t="s">
        <v>23</v>
      </c>
      <c r="K462" s="9" t="s">
        <v>16</v>
      </c>
      <c r="L462" s="9">
        <v>0.0</v>
      </c>
      <c r="M462" s="22" t="str">
        <f t="shared" si="2"/>
        <v>OK</v>
      </c>
      <c r="N462" s="19">
        <f t="shared" si="3"/>
        <v>0.4</v>
      </c>
      <c r="R462" s="14"/>
      <c r="S462" s="8"/>
      <c r="U462" s="14"/>
      <c r="V462" s="9"/>
    </row>
    <row r="463">
      <c r="A463" s="20" t="s">
        <v>942</v>
      </c>
      <c r="B463" s="20" t="s">
        <v>943</v>
      </c>
      <c r="C463" s="21">
        <v>44947.0</v>
      </c>
      <c r="D463" s="21">
        <v>44959.0</v>
      </c>
      <c r="E463" s="9" t="s">
        <v>29</v>
      </c>
      <c r="F463" s="8">
        <v>1.9</v>
      </c>
      <c r="G463" s="8">
        <v>71.0</v>
      </c>
      <c r="H463" s="9">
        <v>0.0</v>
      </c>
      <c r="I463" s="8">
        <v>19.0</v>
      </c>
      <c r="J463" s="9" t="s">
        <v>15</v>
      </c>
      <c r="K463" s="9" t="s">
        <v>16</v>
      </c>
      <c r="L463" s="9">
        <v>1.0</v>
      </c>
      <c r="M463" s="22" t="str">
        <f t="shared" si="2"/>
        <v>OK</v>
      </c>
      <c r="N463" s="19">
        <f t="shared" si="3"/>
        <v>1.9</v>
      </c>
      <c r="R463" s="14"/>
      <c r="S463" s="8"/>
      <c r="U463" s="14"/>
      <c r="V463" s="9"/>
    </row>
    <row r="464">
      <c r="A464" s="20" t="s">
        <v>944</v>
      </c>
      <c r="B464" s="20" t="s">
        <v>945</v>
      </c>
      <c r="C464" s="21">
        <v>45176.0</v>
      </c>
      <c r="D464" s="21">
        <v>45188.0</v>
      </c>
      <c r="E464" s="9" t="s">
        <v>38</v>
      </c>
      <c r="F464" s="8">
        <v>4.8</v>
      </c>
      <c r="G464" s="8">
        <v>86.0</v>
      </c>
      <c r="H464" s="9">
        <v>1.0</v>
      </c>
      <c r="I464" s="8">
        <v>43.0</v>
      </c>
      <c r="J464" s="9" t="s">
        <v>15</v>
      </c>
      <c r="K464" s="9" t="s">
        <v>16</v>
      </c>
      <c r="L464" s="9">
        <v>1.0</v>
      </c>
      <c r="M464" s="22" t="str">
        <f t="shared" si="2"/>
        <v>OK</v>
      </c>
      <c r="N464" s="19">
        <f t="shared" si="3"/>
        <v>4.8</v>
      </c>
      <c r="R464" s="14"/>
      <c r="S464" s="8"/>
      <c r="U464" s="14"/>
      <c r="V464" s="9"/>
    </row>
    <row r="465">
      <c r="A465" s="20" t="s">
        <v>946</v>
      </c>
      <c r="B465" s="20" t="s">
        <v>947</v>
      </c>
      <c r="C465" s="21">
        <v>45198.0</v>
      </c>
      <c r="D465" s="21">
        <v>45210.0</v>
      </c>
      <c r="E465" s="9" t="s">
        <v>14</v>
      </c>
      <c r="F465" s="8">
        <v>0.6</v>
      </c>
      <c r="G465" s="8">
        <v>28.0</v>
      </c>
      <c r="H465" s="9">
        <v>0.0</v>
      </c>
      <c r="I465" s="8">
        <v>21.0</v>
      </c>
      <c r="J465" s="9" t="s">
        <v>19</v>
      </c>
      <c r="K465" s="9" t="s">
        <v>26</v>
      </c>
      <c r="L465" s="9">
        <v>1.0</v>
      </c>
      <c r="M465" s="22" t="str">
        <f t="shared" si="2"/>
        <v>OK</v>
      </c>
      <c r="N465" s="19">
        <f t="shared" si="3"/>
        <v>0.6</v>
      </c>
      <c r="R465" s="14"/>
      <c r="S465" s="8"/>
      <c r="U465" s="14"/>
      <c r="V465" s="9"/>
    </row>
    <row r="466">
      <c r="A466" s="20" t="s">
        <v>948</v>
      </c>
      <c r="B466" s="20" t="s">
        <v>949</v>
      </c>
      <c r="C466" s="21">
        <v>45206.0</v>
      </c>
      <c r="D466" s="21">
        <v>45218.0</v>
      </c>
      <c r="E466" s="9" t="s">
        <v>29</v>
      </c>
      <c r="F466" s="8">
        <v>2.4</v>
      </c>
      <c r="G466" s="8">
        <v>33.0</v>
      </c>
      <c r="H466" s="9">
        <v>1.0</v>
      </c>
      <c r="I466" s="8">
        <v>40.0</v>
      </c>
      <c r="J466" s="9" t="s">
        <v>15</v>
      </c>
      <c r="K466" s="9" t="s">
        <v>47</v>
      </c>
      <c r="L466" s="9">
        <v>1.0</v>
      </c>
      <c r="M466" s="22" t="str">
        <f t="shared" si="2"/>
        <v>OK</v>
      </c>
      <c r="N466" s="19">
        <f t="shared" si="3"/>
        <v>2.4</v>
      </c>
      <c r="R466" s="14"/>
      <c r="S466" s="8"/>
      <c r="U466" s="14"/>
      <c r="V466" s="9"/>
    </row>
    <row r="467">
      <c r="A467" s="20" t="s">
        <v>950</v>
      </c>
      <c r="B467" s="20" t="s">
        <v>951</v>
      </c>
      <c r="C467" s="21">
        <v>44981.0</v>
      </c>
      <c r="D467" s="21">
        <v>44993.0</v>
      </c>
      <c r="E467" s="9" t="s">
        <v>29</v>
      </c>
      <c r="F467" s="8">
        <v>2.1</v>
      </c>
      <c r="G467" s="8">
        <v>96.0</v>
      </c>
      <c r="H467" s="9">
        <v>0.0</v>
      </c>
      <c r="I467" s="8">
        <v>13.0</v>
      </c>
      <c r="J467" s="9" t="s">
        <v>23</v>
      </c>
      <c r="K467" s="9" t="s">
        <v>16</v>
      </c>
      <c r="L467" s="9">
        <v>0.0</v>
      </c>
      <c r="M467" s="22" t="str">
        <f t="shared" si="2"/>
        <v>OK</v>
      </c>
      <c r="N467" s="19">
        <f t="shared" si="3"/>
        <v>2.1</v>
      </c>
      <c r="R467" s="14"/>
      <c r="S467" s="8"/>
      <c r="U467" s="14"/>
      <c r="V467" s="9"/>
    </row>
    <row r="468">
      <c r="A468" s="20" t="s">
        <v>952</v>
      </c>
      <c r="B468" s="20" t="s">
        <v>953</v>
      </c>
      <c r="C468" s="21">
        <v>45291.0</v>
      </c>
      <c r="D468" s="21">
        <v>45303.0</v>
      </c>
      <c r="E468" s="9" t="s">
        <v>22</v>
      </c>
      <c r="F468" s="8">
        <v>3.2</v>
      </c>
      <c r="G468" s="8">
        <v>66.0</v>
      </c>
      <c r="H468" s="9">
        <v>1.0</v>
      </c>
      <c r="I468" s="8">
        <v>33.0</v>
      </c>
      <c r="J468" s="9" t="s">
        <v>19</v>
      </c>
      <c r="K468" s="9" t="s">
        <v>16</v>
      </c>
      <c r="L468" s="9">
        <v>1.0</v>
      </c>
      <c r="M468" s="22" t="str">
        <f t="shared" si="2"/>
        <v>OK</v>
      </c>
      <c r="N468" s="19">
        <f t="shared" si="3"/>
        <v>3.2</v>
      </c>
      <c r="R468" s="14"/>
      <c r="S468" s="8"/>
      <c r="U468" s="14"/>
      <c r="V468" s="9"/>
    </row>
    <row r="469">
      <c r="A469" s="20" t="s">
        <v>954</v>
      </c>
      <c r="B469" s="20" t="s">
        <v>955</v>
      </c>
      <c r="C469" s="21">
        <v>45270.0</v>
      </c>
      <c r="D469" s="21">
        <v>45282.0</v>
      </c>
      <c r="E469" s="9" t="s">
        <v>29</v>
      </c>
      <c r="F469" s="8">
        <v>4.6</v>
      </c>
      <c r="G469" s="8">
        <v>56.0</v>
      </c>
      <c r="H469" s="9">
        <v>0.0</v>
      </c>
      <c r="I469" s="8">
        <v>48.0</v>
      </c>
      <c r="J469" s="9" t="s">
        <v>32</v>
      </c>
      <c r="K469" s="9" t="s">
        <v>26</v>
      </c>
      <c r="L469" s="9">
        <v>1.0</v>
      </c>
      <c r="M469" s="22" t="str">
        <f t="shared" si="2"/>
        <v>OK</v>
      </c>
      <c r="N469" s="19">
        <f t="shared" si="3"/>
        <v>4.6</v>
      </c>
      <c r="R469" s="14"/>
      <c r="S469" s="8"/>
      <c r="U469" s="14"/>
      <c r="V469" s="9"/>
    </row>
    <row r="470">
      <c r="A470" s="20" t="s">
        <v>956</v>
      </c>
      <c r="B470" s="20" t="s">
        <v>957</v>
      </c>
      <c r="C470" s="21">
        <v>44936.0</v>
      </c>
      <c r="D470" s="21">
        <v>44948.0</v>
      </c>
      <c r="E470" s="9" t="s">
        <v>29</v>
      </c>
      <c r="F470" s="8">
        <v>2.6</v>
      </c>
      <c r="G470" s="8">
        <v>21.0</v>
      </c>
      <c r="H470" s="9">
        <v>0.0</v>
      </c>
      <c r="I470" s="8">
        <v>12.0</v>
      </c>
      <c r="J470" s="9" t="s">
        <v>35</v>
      </c>
      <c r="K470" s="9" t="s">
        <v>47</v>
      </c>
      <c r="L470" s="9">
        <v>1.0</v>
      </c>
      <c r="M470" s="22" t="str">
        <f t="shared" si="2"/>
        <v>OK</v>
      </c>
      <c r="N470" s="19">
        <f t="shared" si="3"/>
        <v>2.6</v>
      </c>
      <c r="R470" s="14"/>
      <c r="S470" s="8"/>
      <c r="U470" s="14"/>
      <c r="V470" s="9"/>
    </row>
    <row r="471">
      <c r="A471" s="20" t="s">
        <v>958</v>
      </c>
      <c r="B471" s="20" t="s">
        <v>959</v>
      </c>
      <c r="C471" s="21">
        <v>45036.0</v>
      </c>
      <c r="D471" s="21">
        <v>45048.0</v>
      </c>
      <c r="E471" s="9" t="s">
        <v>38</v>
      </c>
      <c r="F471" s="8">
        <v>1.7</v>
      </c>
      <c r="G471" s="8">
        <v>60.0</v>
      </c>
      <c r="H471" s="9">
        <v>1.0</v>
      </c>
      <c r="I471" s="8">
        <v>31.0</v>
      </c>
      <c r="J471" s="9" t="s">
        <v>23</v>
      </c>
      <c r="K471" s="9" t="s">
        <v>47</v>
      </c>
      <c r="L471" s="9">
        <v>1.0</v>
      </c>
      <c r="M471" s="22" t="str">
        <f t="shared" si="2"/>
        <v>OK</v>
      </c>
      <c r="N471" s="19">
        <f t="shared" si="3"/>
        <v>1.7</v>
      </c>
      <c r="R471" s="14"/>
      <c r="S471" s="8"/>
      <c r="U471" s="14"/>
      <c r="V471" s="9"/>
    </row>
    <row r="472">
      <c r="A472" s="20" t="s">
        <v>960</v>
      </c>
      <c r="B472" s="20" t="s">
        <v>961</v>
      </c>
      <c r="C472" s="21">
        <v>45288.0</v>
      </c>
      <c r="D472" s="21">
        <v>45300.0</v>
      </c>
      <c r="E472" s="9" t="s">
        <v>38</v>
      </c>
      <c r="F472" s="8">
        <v>2.0</v>
      </c>
      <c r="G472" s="8">
        <v>91.0</v>
      </c>
      <c r="H472" s="9">
        <v>0.0</v>
      </c>
      <c r="I472" s="8">
        <v>34.0</v>
      </c>
      <c r="J472" s="9" t="s">
        <v>35</v>
      </c>
      <c r="K472" s="9" t="s">
        <v>26</v>
      </c>
      <c r="L472" s="9">
        <v>1.0</v>
      </c>
      <c r="M472" s="22" t="str">
        <f t="shared" si="2"/>
        <v>OK</v>
      </c>
      <c r="N472" s="19">
        <f t="shared" si="3"/>
        <v>2</v>
      </c>
      <c r="R472" s="14"/>
      <c r="S472" s="8"/>
      <c r="U472" s="14"/>
      <c r="V472" s="9"/>
    </row>
    <row r="473">
      <c r="A473" s="20" t="s">
        <v>962</v>
      </c>
      <c r="B473" s="20" t="s">
        <v>963</v>
      </c>
      <c r="C473" s="21">
        <v>44997.0</v>
      </c>
      <c r="D473" s="21">
        <v>45009.0</v>
      </c>
      <c r="E473" s="9" t="s">
        <v>38</v>
      </c>
      <c r="F473" s="8">
        <v>0.7</v>
      </c>
      <c r="G473" s="8">
        <v>90.0</v>
      </c>
      <c r="H473" s="9">
        <v>0.0</v>
      </c>
      <c r="I473" s="8">
        <v>45.0</v>
      </c>
      <c r="J473" s="9" t="s">
        <v>32</v>
      </c>
      <c r="K473" s="9" t="s">
        <v>47</v>
      </c>
      <c r="L473" s="9">
        <v>0.0</v>
      </c>
      <c r="M473" s="22" t="str">
        <f t="shared" si="2"/>
        <v>OK</v>
      </c>
      <c r="N473" s="19">
        <f t="shared" si="3"/>
        <v>0.7</v>
      </c>
      <c r="R473" s="14"/>
      <c r="S473" s="8"/>
      <c r="U473" s="14"/>
      <c r="V473" s="9"/>
    </row>
    <row r="474">
      <c r="A474" s="20" t="s">
        <v>964</v>
      </c>
      <c r="B474" s="20" t="s">
        <v>965</v>
      </c>
      <c r="C474" s="21">
        <v>45090.0</v>
      </c>
      <c r="D474" s="21">
        <v>45102.0</v>
      </c>
      <c r="E474" s="9" t="s">
        <v>38</v>
      </c>
      <c r="F474" s="8">
        <v>3.5</v>
      </c>
      <c r="G474" s="8">
        <v>43.0</v>
      </c>
      <c r="H474" s="9">
        <v>0.0</v>
      </c>
      <c r="I474" s="8">
        <v>39.0</v>
      </c>
      <c r="J474" s="9" t="s">
        <v>35</v>
      </c>
      <c r="K474" s="9" t="s">
        <v>26</v>
      </c>
      <c r="L474" s="9">
        <v>1.0</v>
      </c>
      <c r="M474" s="22" t="str">
        <f t="shared" si="2"/>
        <v>OK</v>
      </c>
      <c r="N474" s="19">
        <f t="shared" si="3"/>
        <v>3.5</v>
      </c>
      <c r="R474" s="14"/>
      <c r="S474" s="8"/>
      <c r="U474" s="14"/>
      <c r="V474" s="9"/>
    </row>
    <row r="475">
      <c r="A475" s="20" t="s">
        <v>966</v>
      </c>
      <c r="B475" s="20" t="s">
        <v>967</v>
      </c>
      <c r="C475" s="21">
        <v>45138.0</v>
      </c>
      <c r="D475" s="21">
        <v>45150.0</v>
      </c>
      <c r="E475" s="9" t="s">
        <v>22</v>
      </c>
      <c r="F475" s="8">
        <v>3.9</v>
      </c>
      <c r="G475" s="8">
        <v>67.0</v>
      </c>
      <c r="H475" s="9">
        <v>1.0</v>
      </c>
      <c r="I475" s="8">
        <v>23.0</v>
      </c>
      <c r="J475" s="9" t="s">
        <v>19</v>
      </c>
      <c r="K475" s="9" t="s">
        <v>47</v>
      </c>
      <c r="L475" s="9">
        <v>1.0</v>
      </c>
      <c r="M475" s="22" t="str">
        <f t="shared" si="2"/>
        <v>OK</v>
      </c>
      <c r="N475" s="19">
        <f t="shared" si="3"/>
        <v>3.9</v>
      </c>
      <c r="R475" s="14"/>
      <c r="S475" s="8"/>
      <c r="U475" s="14"/>
      <c r="V475" s="9"/>
    </row>
    <row r="476">
      <c r="A476" s="20" t="s">
        <v>968</v>
      </c>
      <c r="B476" s="20" t="s">
        <v>969</v>
      </c>
      <c r="C476" s="21">
        <v>45248.0</v>
      </c>
      <c r="D476" s="21">
        <v>45260.0</v>
      </c>
      <c r="E476" s="9" t="s">
        <v>14</v>
      </c>
      <c r="F476" s="8">
        <v>4.0</v>
      </c>
      <c r="G476" s="8">
        <v>98.0</v>
      </c>
      <c r="H476" s="9">
        <v>1.0</v>
      </c>
      <c r="I476" s="8">
        <v>51.0</v>
      </c>
      <c r="J476" s="9" t="s">
        <v>23</v>
      </c>
      <c r="K476" s="9" t="s">
        <v>26</v>
      </c>
      <c r="L476" s="9">
        <v>1.0</v>
      </c>
      <c r="M476" s="22" t="str">
        <f t="shared" si="2"/>
        <v>OK</v>
      </c>
      <c r="N476" s="19">
        <f t="shared" si="3"/>
        <v>4</v>
      </c>
      <c r="R476" s="14"/>
      <c r="S476" s="8"/>
      <c r="U476" s="14"/>
      <c r="V476" s="9"/>
    </row>
    <row r="477">
      <c r="A477" s="20" t="s">
        <v>970</v>
      </c>
      <c r="B477" s="20" t="s">
        <v>971</v>
      </c>
      <c r="C477" s="21">
        <v>45216.0</v>
      </c>
      <c r="D477" s="21">
        <v>45228.0</v>
      </c>
      <c r="E477" s="9" t="s">
        <v>22</v>
      </c>
      <c r="F477" s="8">
        <v>3.6</v>
      </c>
      <c r="G477" s="8">
        <v>34.0</v>
      </c>
      <c r="H477" s="9">
        <v>1.0</v>
      </c>
      <c r="I477" s="8">
        <v>14.0</v>
      </c>
      <c r="J477" s="9" t="s">
        <v>35</v>
      </c>
      <c r="K477" s="9" t="s">
        <v>16</v>
      </c>
      <c r="L477" s="9">
        <v>0.0</v>
      </c>
      <c r="M477" s="22" t="str">
        <f t="shared" si="2"/>
        <v>OK</v>
      </c>
      <c r="N477" s="19">
        <f t="shared" si="3"/>
        <v>3.6</v>
      </c>
      <c r="R477" s="14"/>
      <c r="S477" s="8"/>
      <c r="U477" s="14"/>
      <c r="V477" s="9"/>
    </row>
    <row r="478">
      <c r="A478" s="20" t="s">
        <v>972</v>
      </c>
      <c r="B478" s="20" t="s">
        <v>973</v>
      </c>
      <c r="C478" s="21">
        <v>45028.0</v>
      </c>
      <c r="D478" s="21">
        <v>45040.0</v>
      </c>
      <c r="E478" s="9" t="s">
        <v>29</v>
      </c>
      <c r="F478" s="8">
        <v>0.4</v>
      </c>
      <c r="G478" s="8">
        <v>44.0</v>
      </c>
      <c r="H478" s="9">
        <v>0.0</v>
      </c>
      <c r="I478" s="8">
        <v>42.0</v>
      </c>
      <c r="J478" s="9" t="s">
        <v>35</v>
      </c>
      <c r="K478" s="9" t="s">
        <v>16</v>
      </c>
      <c r="L478" s="9">
        <v>1.0</v>
      </c>
      <c r="M478" s="22" t="str">
        <f t="shared" si="2"/>
        <v>OK</v>
      </c>
      <c r="N478" s="19">
        <f t="shared" si="3"/>
        <v>0.4</v>
      </c>
      <c r="R478" s="14"/>
      <c r="S478" s="8"/>
      <c r="U478" s="14"/>
      <c r="V478" s="9"/>
    </row>
    <row r="479">
      <c r="A479" s="20" t="s">
        <v>974</v>
      </c>
      <c r="B479" s="20" t="s">
        <v>975</v>
      </c>
      <c r="C479" s="21">
        <v>45280.0</v>
      </c>
      <c r="D479" s="21">
        <v>45292.0</v>
      </c>
      <c r="E479" s="9" t="s">
        <v>38</v>
      </c>
      <c r="F479" s="8">
        <v>0.3</v>
      </c>
      <c r="G479" s="8">
        <v>20.0</v>
      </c>
      <c r="H479" s="9">
        <v>1.0</v>
      </c>
      <c r="I479" s="8">
        <v>52.0</v>
      </c>
      <c r="J479" s="9" t="s">
        <v>35</v>
      </c>
      <c r="K479" s="9" t="s">
        <v>16</v>
      </c>
      <c r="L479" s="9">
        <v>0.0</v>
      </c>
      <c r="M479" s="22" t="str">
        <f t="shared" si="2"/>
        <v>OK</v>
      </c>
      <c r="N479" s="19">
        <f t="shared" si="3"/>
        <v>0.3</v>
      </c>
      <c r="R479" s="14"/>
      <c r="S479" s="8"/>
      <c r="U479" s="14"/>
      <c r="V479" s="9"/>
    </row>
    <row r="480">
      <c r="A480" s="20" t="s">
        <v>976</v>
      </c>
      <c r="B480" s="20" t="s">
        <v>977</v>
      </c>
      <c r="C480" s="21">
        <v>45058.0</v>
      </c>
      <c r="D480" s="21">
        <v>45070.0</v>
      </c>
      <c r="E480" s="9" t="s">
        <v>38</v>
      </c>
      <c r="F480" s="8">
        <v>0.9</v>
      </c>
      <c r="G480" s="8">
        <v>16.0</v>
      </c>
      <c r="H480" s="9">
        <v>1.0</v>
      </c>
      <c r="I480" s="8">
        <v>47.0</v>
      </c>
      <c r="J480" s="9" t="s">
        <v>32</v>
      </c>
      <c r="K480" s="9" t="s">
        <v>16</v>
      </c>
      <c r="L480" s="9">
        <v>0.0</v>
      </c>
      <c r="M480" s="22" t="str">
        <f t="shared" si="2"/>
        <v>OK</v>
      </c>
      <c r="N480" s="19">
        <f t="shared" si="3"/>
        <v>0.9</v>
      </c>
      <c r="R480" s="14"/>
      <c r="S480" s="8"/>
      <c r="U480" s="14"/>
      <c r="V480" s="9"/>
    </row>
    <row r="481">
      <c r="A481" s="20" t="s">
        <v>978</v>
      </c>
      <c r="B481" s="20" t="s">
        <v>979</v>
      </c>
      <c r="C481" s="21">
        <v>45269.0</v>
      </c>
      <c r="D481" s="21">
        <v>45281.0</v>
      </c>
      <c r="E481" s="9" t="s">
        <v>38</v>
      </c>
      <c r="F481" s="8">
        <v>0.1</v>
      </c>
      <c r="G481" s="8">
        <v>85.0</v>
      </c>
      <c r="H481" s="9">
        <v>1.0</v>
      </c>
      <c r="I481" s="8">
        <v>38.0</v>
      </c>
      <c r="J481" s="9" t="s">
        <v>35</v>
      </c>
      <c r="K481" s="9" t="s">
        <v>47</v>
      </c>
      <c r="L481" s="9">
        <v>1.0</v>
      </c>
      <c r="M481" s="22" t="str">
        <f t="shared" si="2"/>
        <v>OK</v>
      </c>
      <c r="N481" s="19">
        <f t="shared" si="3"/>
        <v>0.1</v>
      </c>
      <c r="R481" s="14"/>
      <c r="S481" s="8"/>
      <c r="U481" s="14"/>
      <c r="V481" s="9"/>
    </row>
    <row r="482">
      <c r="A482" s="20" t="s">
        <v>980</v>
      </c>
      <c r="B482" s="20" t="s">
        <v>981</v>
      </c>
      <c r="C482" s="21">
        <v>45284.0</v>
      </c>
      <c r="D482" s="21">
        <v>45296.0</v>
      </c>
      <c r="E482" s="9" t="s">
        <v>22</v>
      </c>
      <c r="F482" s="8">
        <v>3.4</v>
      </c>
      <c r="G482" s="8">
        <v>93.0</v>
      </c>
      <c r="H482" s="9">
        <v>1.0</v>
      </c>
      <c r="I482" s="8">
        <v>27.0</v>
      </c>
      <c r="J482" s="9" t="s">
        <v>15</v>
      </c>
      <c r="K482" s="9" t="s">
        <v>47</v>
      </c>
      <c r="L482" s="9">
        <v>1.0</v>
      </c>
      <c r="M482" s="22" t="str">
        <f t="shared" si="2"/>
        <v>OK</v>
      </c>
      <c r="N482" s="19">
        <f t="shared" si="3"/>
        <v>3.4</v>
      </c>
      <c r="R482" s="14"/>
      <c r="S482" s="8"/>
      <c r="U482" s="14"/>
      <c r="V482" s="9"/>
    </row>
    <row r="483">
      <c r="A483" s="20" t="s">
        <v>982</v>
      </c>
      <c r="B483" s="20" t="s">
        <v>983</v>
      </c>
      <c r="C483" s="21">
        <v>45049.0</v>
      </c>
      <c r="D483" s="21">
        <v>45061.0</v>
      </c>
      <c r="E483" s="9" t="s">
        <v>22</v>
      </c>
      <c r="F483" s="8">
        <v>3.3</v>
      </c>
      <c r="G483" s="8">
        <v>12.0</v>
      </c>
      <c r="H483" s="9">
        <v>1.0</v>
      </c>
      <c r="I483" s="8">
        <v>49.0</v>
      </c>
      <c r="J483" s="9" t="s">
        <v>19</v>
      </c>
      <c r="K483" s="9" t="s">
        <v>47</v>
      </c>
      <c r="L483" s="9">
        <v>1.0</v>
      </c>
      <c r="M483" s="22" t="str">
        <f t="shared" si="2"/>
        <v>OK</v>
      </c>
      <c r="N483" s="19">
        <f t="shared" si="3"/>
        <v>3.3</v>
      </c>
      <c r="R483" s="14"/>
      <c r="S483" s="8"/>
      <c r="U483" s="14"/>
      <c r="V483" s="9"/>
    </row>
    <row r="484">
      <c r="A484" s="20" t="s">
        <v>984</v>
      </c>
      <c r="B484" s="20" t="s">
        <v>985</v>
      </c>
      <c r="C484" s="21">
        <v>45105.0</v>
      </c>
      <c r="D484" s="21">
        <v>45117.0</v>
      </c>
      <c r="E484" s="9" t="s">
        <v>14</v>
      </c>
      <c r="F484" s="8">
        <v>1.4</v>
      </c>
      <c r="G484" s="8">
        <v>49.0</v>
      </c>
      <c r="H484" s="9">
        <v>0.0</v>
      </c>
      <c r="I484" s="8">
        <v>37.0</v>
      </c>
      <c r="J484" s="9" t="s">
        <v>15</v>
      </c>
      <c r="K484" s="9" t="s">
        <v>26</v>
      </c>
      <c r="L484" s="9">
        <v>1.0</v>
      </c>
      <c r="M484" s="22" t="str">
        <f t="shared" si="2"/>
        <v>OK</v>
      </c>
      <c r="N484" s="19">
        <f t="shared" si="3"/>
        <v>1.4</v>
      </c>
      <c r="R484" s="14"/>
      <c r="S484" s="8"/>
      <c r="U484" s="14"/>
      <c r="V484" s="9"/>
    </row>
    <row r="485">
      <c r="A485" s="20" t="s">
        <v>986</v>
      </c>
      <c r="B485" s="20" t="s">
        <v>987</v>
      </c>
      <c r="C485" s="21">
        <v>44930.0</v>
      </c>
      <c r="D485" s="21">
        <v>44942.0</v>
      </c>
      <c r="E485" s="9" t="s">
        <v>38</v>
      </c>
      <c r="F485" s="8">
        <v>1.3</v>
      </c>
      <c r="G485" s="8">
        <v>29.0</v>
      </c>
      <c r="H485" s="9">
        <v>1.0</v>
      </c>
      <c r="I485" s="8">
        <v>20.0</v>
      </c>
      <c r="J485" s="9" t="s">
        <v>35</v>
      </c>
      <c r="K485" s="9" t="s">
        <v>26</v>
      </c>
      <c r="L485" s="9">
        <v>0.0</v>
      </c>
      <c r="M485" s="22" t="str">
        <f t="shared" si="2"/>
        <v>OK</v>
      </c>
      <c r="N485" s="19">
        <f t="shared" si="3"/>
        <v>1.3</v>
      </c>
      <c r="R485" s="14"/>
      <c r="S485" s="8"/>
      <c r="U485" s="14"/>
      <c r="V485" s="9"/>
    </row>
    <row r="486">
      <c r="A486" s="20" t="s">
        <v>988</v>
      </c>
      <c r="B486" s="20" t="s">
        <v>989</v>
      </c>
      <c r="C486" s="21">
        <v>45260.0</v>
      </c>
      <c r="D486" s="21">
        <v>45272.0</v>
      </c>
      <c r="E486" s="9" t="s">
        <v>22</v>
      </c>
      <c r="F486" s="8">
        <v>4.3</v>
      </c>
      <c r="G486" s="8">
        <v>47.0</v>
      </c>
      <c r="H486" s="9">
        <v>0.0</v>
      </c>
      <c r="I486" s="8">
        <v>54.0</v>
      </c>
      <c r="J486" s="9" t="s">
        <v>23</v>
      </c>
      <c r="K486" s="9" t="s">
        <v>26</v>
      </c>
      <c r="L486" s="9">
        <v>1.0</v>
      </c>
      <c r="M486" s="22" t="str">
        <f t="shared" si="2"/>
        <v>OK</v>
      </c>
      <c r="N486" s="19">
        <f t="shared" si="3"/>
        <v>4.3</v>
      </c>
      <c r="R486" s="14"/>
      <c r="S486" s="8"/>
      <c r="U486" s="14"/>
      <c r="V486" s="9"/>
    </row>
    <row r="487">
      <c r="A487" s="20" t="s">
        <v>990</v>
      </c>
      <c r="B487" s="20" t="s">
        <v>991</v>
      </c>
      <c r="C487" s="21">
        <v>45262.0</v>
      </c>
      <c r="D487" s="21">
        <v>45274.0</v>
      </c>
      <c r="E487" s="9" t="s">
        <v>38</v>
      </c>
      <c r="F487" s="8">
        <v>4.7</v>
      </c>
      <c r="G487" s="8">
        <v>55.0</v>
      </c>
      <c r="H487" s="9">
        <v>1.0</v>
      </c>
      <c r="I487" s="8">
        <v>35.0</v>
      </c>
      <c r="J487" s="9" t="s">
        <v>15</v>
      </c>
      <c r="K487" s="9" t="s">
        <v>47</v>
      </c>
      <c r="L487" s="9">
        <v>1.0</v>
      </c>
      <c r="M487" s="22" t="str">
        <f t="shared" si="2"/>
        <v>OK</v>
      </c>
      <c r="N487" s="19">
        <f t="shared" si="3"/>
        <v>4.7</v>
      </c>
      <c r="R487" s="14"/>
      <c r="S487" s="8"/>
      <c r="U487" s="14"/>
      <c r="V487" s="9"/>
    </row>
    <row r="488">
      <c r="A488" s="20" t="s">
        <v>992</v>
      </c>
      <c r="B488" s="20" t="s">
        <v>993</v>
      </c>
      <c r="C488" s="21">
        <v>44957.0</v>
      </c>
      <c r="D488" s="21">
        <v>44969.0</v>
      </c>
      <c r="E488" s="9" t="s">
        <v>22</v>
      </c>
      <c r="F488" s="8">
        <v>1.8</v>
      </c>
      <c r="G488" s="8">
        <v>58.0</v>
      </c>
      <c r="H488" s="9">
        <v>1.0</v>
      </c>
      <c r="I488" s="8">
        <v>56.0</v>
      </c>
      <c r="J488" s="9" t="s">
        <v>23</v>
      </c>
      <c r="K488" s="9" t="s">
        <v>16</v>
      </c>
      <c r="L488" s="9">
        <v>1.0</v>
      </c>
      <c r="M488" s="22" t="str">
        <f t="shared" si="2"/>
        <v>OK</v>
      </c>
      <c r="N488" s="19">
        <f t="shared" si="3"/>
        <v>1.8</v>
      </c>
      <c r="R488" s="14"/>
      <c r="S488" s="8"/>
      <c r="U488" s="14"/>
      <c r="V488" s="9"/>
    </row>
    <row r="489">
      <c r="A489" s="20" t="s">
        <v>994</v>
      </c>
      <c r="B489" s="20" t="s">
        <v>995</v>
      </c>
      <c r="C489" s="21">
        <v>45064.0</v>
      </c>
      <c r="D489" s="21">
        <v>45076.0</v>
      </c>
      <c r="E489" s="9" t="s">
        <v>14</v>
      </c>
      <c r="F489" s="8">
        <v>3.7</v>
      </c>
      <c r="G489" s="8">
        <v>15.0</v>
      </c>
      <c r="H489" s="9">
        <v>0.0</v>
      </c>
      <c r="I489" s="8">
        <v>26.0</v>
      </c>
      <c r="J489" s="9" t="s">
        <v>35</v>
      </c>
      <c r="K489" s="9" t="s">
        <v>26</v>
      </c>
      <c r="L489" s="9">
        <v>1.0</v>
      </c>
      <c r="M489" s="22" t="str">
        <f t="shared" si="2"/>
        <v>OK</v>
      </c>
      <c r="N489" s="19">
        <f t="shared" si="3"/>
        <v>3.7</v>
      </c>
      <c r="R489" s="14"/>
      <c r="S489" s="8"/>
      <c r="U489" s="14"/>
      <c r="V489" s="9"/>
    </row>
    <row r="490">
      <c r="A490" s="20" t="s">
        <v>996</v>
      </c>
      <c r="B490" s="20" t="s">
        <v>997</v>
      </c>
      <c r="C490" s="21">
        <v>45194.0</v>
      </c>
      <c r="D490" s="21">
        <v>45206.0</v>
      </c>
      <c r="E490" s="9" t="s">
        <v>38</v>
      </c>
      <c r="F490" s="8">
        <v>3.8</v>
      </c>
      <c r="G490" s="8">
        <v>48.0</v>
      </c>
      <c r="H490" s="9">
        <v>1.0</v>
      </c>
      <c r="I490" s="8">
        <v>32.0</v>
      </c>
      <c r="J490" s="9" t="s">
        <v>15</v>
      </c>
      <c r="K490" s="9" t="s">
        <v>26</v>
      </c>
      <c r="L490" s="9">
        <v>1.0</v>
      </c>
      <c r="M490" s="22" t="str">
        <f t="shared" si="2"/>
        <v>OK</v>
      </c>
      <c r="N490" s="19">
        <f t="shared" si="3"/>
        <v>3.8</v>
      </c>
      <c r="R490" s="14"/>
      <c r="S490" s="8"/>
      <c r="U490" s="14"/>
      <c r="V490" s="9"/>
    </row>
    <row r="491">
      <c r="A491" s="20" t="s">
        <v>998</v>
      </c>
      <c r="B491" s="20" t="s">
        <v>999</v>
      </c>
      <c r="C491" s="21">
        <v>45080.0</v>
      </c>
      <c r="D491" s="21">
        <v>45092.0</v>
      </c>
      <c r="E491" s="9" t="s">
        <v>14</v>
      </c>
      <c r="F491" s="8">
        <v>0.5</v>
      </c>
      <c r="G491" s="8">
        <v>3.0</v>
      </c>
      <c r="H491" s="9">
        <v>1.0</v>
      </c>
      <c r="I491" s="8">
        <v>22.0</v>
      </c>
      <c r="J491" s="9" t="s">
        <v>32</v>
      </c>
      <c r="K491" s="9" t="s">
        <v>47</v>
      </c>
      <c r="L491" s="9">
        <v>1.0</v>
      </c>
      <c r="M491" s="22" t="str">
        <f t="shared" si="2"/>
        <v>OK</v>
      </c>
      <c r="N491" s="19">
        <f t="shared" si="3"/>
        <v>0.5</v>
      </c>
      <c r="R491" s="14"/>
      <c r="S491" s="8"/>
      <c r="U491" s="14"/>
      <c r="V491" s="9"/>
    </row>
    <row r="492">
      <c r="A492" s="20" t="s">
        <v>1000</v>
      </c>
      <c r="B492" s="20" t="s">
        <v>1001</v>
      </c>
      <c r="C492" s="21">
        <v>45167.0</v>
      </c>
      <c r="D492" s="21">
        <v>45179.0</v>
      </c>
      <c r="E492" s="9" t="s">
        <v>14</v>
      </c>
      <c r="F492" s="8">
        <v>0.2</v>
      </c>
      <c r="G492" s="8">
        <v>1.0</v>
      </c>
      <c r="H492" s="9">
        <v>1.0</v>
      </c>
      <c r="I492" s="8">
        <v>30.0</v>
      </c>
      <c r="J492" s="9" t="s">
        <v>23</v>
      </c>
      <c r="K492" s="9" t="s">
        <v>26</v>
      </c>
      <c r="L492" s="9">
        <v>1.0</v>
      </c>
      <c r="M492" s="22" t="str">
        <f t="shared" si="2"/>
        <v>OK</v>
      </c>
      <c r="N492" s="19">
        <f t="shared" si="3"/>
        <v>0.2</v>
      </c>
      <c r="R492" s="14"/>
      <c r="S492" s="8"/>
      <c r="U492" s="14"/>
      <c r="V492" s="9"/>
    </row>
    <row r="493">
      <c r="A493" s="20" t="s">
        <v>1002</v>
      </c>
      <c r="B493" s="20" t="s">
        <v>1003</v>
      </c>
      <c r="C493" s="21">
        <v>45179.0</v>
      </c>
      <c r="D493" s="21">
        <v>45191.0</v>
      </c>
      <c r="E493" s="9" t="s">
        <v>38</v>
      </c>
      <c r="F493" s="8">
        <v>1.5</v>
      </c>
      <c r="G493" s="8">
        <v>4.0</v>
      </c>
      <c r="H493" s="9">
        <v>1.0</v>
      </c>
      <c r="I493" s="8">
        <v>41.0</v>
      </c>
      <c r="J493" s="9" t="s">
        <v>19</v>
      </c>
      <c r="K493" s="9" t="s">
        <v>47</v>
      </c>
      <c r="L493" s="9">
        <v>0.0</v>
      </c>
      <c r="M493" s="22" t="str">
        <f t="shared" si="2"/>
        <v>OK</v>
      </c>
      <c r="N493" s="19">
        <f t="shared" si="3"/>
        <v>1.5</v>
      </c>
      <c r="R493" s="14"/>
      <c r="S493" s="8"/>
      <c r="U493" s="14"/>
      <c r="V493" s="9"/>
    </row>
    <row r="494">
      <c r="A494" s="20" t="s">
        <v>1004</v>
      </c>
      <c r="B494" s="20" t="s">
        <v>1005</v>
      </c>
      <c r="C494" s="21">
        <v>45240.0</v>
      </c>
      <c r="D494" s="21">
        <v>45252.0</v>
      </c>
      <c r="E494" s="9" t="s">
        <v>38</v>
      </c>
      <c r="F494" s="8">
        <v>3.0</v>
      </c>
      <c r="G494" s="8">
        <v>80.0</v>
      </c>
      <c r="H494" s="9">
        <v>1.0</v>
      </c>
      <c r="I494" s="8">
        <v>16.0</v>
      </c>
      <c r="J494" s="9" t="s">
        <v>23</v>
      </c>
      <c r="K494" s="9" t="s">
        <v>47</v>
      </c>
      <c r="L494" s="9">
        <v>1.0</v>
      </c>
      <c r="M494" s="22" t="str">
        <f t="shared" si="2"/>
        <v>OK</v>
      </c>
      <c r="N494" s="19">
        <f t="shared" si="3"/>
        <v>3</v>
      </c>
      <c r="R494" s="14"/>
      <c r="S494" s="8"/>
      <c r="U494" s="14"/>
      <c r="V494" s="9"/>
    </row>
    <row r="495">
      <c r="A495" s="20" t="s">
        <v>1006</v>
      </c>
      <c r="B495" s="20" t="s">
        <v>1007</v>
      </c>
      <c r="C495" s="21">
        <v>45000.0</v>
      </c>
      <c r="D495" s="21">
        <v>45012.0</v>
      </c>
      <c r="E495" s="9" t="s">
        <v>29</v>
      </c>
      <c r="F495" s="8">
        <v>2.3</v>
      </c>
      <c r="G495" s="8">
        <v>64.0</v>
      </c>
      <c r="H495" s="9">
        <v>1.0</v>
      </c>
      <c r="I495" s="8">
        <v>24.0</v>
      </c>
      <c r="J495" s="9" t="s">
        <v>35</v>
      </c>
      <c r="K495" s="9" t="s">
        <v>26</v>
      </c>
      <c r="L495" s="9">
        <v>0.0</v>
      </c>
      <c r="M495" s="22" t="str">
        <f t="shared" si="2"/>
        <v>OK</v>
      </c>
      <c r="N495" s="19">
        <f t="shared" si="3"/>
        <v>2.3</v>
      </c>
      <c r="R495" s="14"/>
      <c r="S495" s="8"/>
      <c r="U495" s="14"/>
      <c r="V495" s="9"/>
    </row>
    <row r="496">
      <c r="A496" s="20" t="s">
        <v>1008</v>
      </c>
      <c r="B496" s="20" t="s">
        <v>1009</v>
      </c>
      <c r="C496" s="21">
        <v>45245.0</v>
      </c>
      <c r="D496" s="21">
        <v>45257.0</v>
      </c>
      <c r="E496" s="9" t="s">
        <v>14</v>
      </c>
      <c r="F496" s="8">
        <v>1.6</v>
      </c>
      <c r="G496" s="8">
        <v>40.0</v>
      </c>
      <c r="H496" s="9">
        <v>1.0</v>
      </c>
      <c r="I496" s="8">
        <v>15.0</v>
      </c>
      <c r="J496" s="9" t="s">
        <v>35</v>
      </c>
      <c r="K496" s="9" t="s">
        <v>26</v>
      </c>
      <c r="L496" s="9">
        <v>0.0</v>
      </c>
      <c r="M496" s="22" t="str">
        <f t="shared" si="2"/>
        <v>OK</v>
      </c>
      <c r="N496" s="19">
        <f t="shared" si="3"/>
        <v>1.6</v>
      </c>
      <c r="R496" s="14"/>
      <c r="S496" s="8"/>
      <c r="U496" s="14"/>
      <c r="V496" s="9"/>
    </row>
    <row r="497">
      <c r="A497" s="20" t="s">
        <v>1010</v>
      </c>
      <c r="B497" s="20" t="s">
        <v>1011</v>
      </c>
      <c r="C497" s="21">
        <v>45023.0</v>
      </c>
      <c r="D497" s="21">
        <v>45035.0</v>
      </c>
      <c r="E497" s="9" t="s">
        <v>14</v>
      </c>
      <c r="F497" s="8">
        <v>5.0</v>
      </c>
      <c r="G497" s="8">
        <v>22.0</v>
      </c>
      <c r="H497" s="9">
        <v>1.0</v>
      </c>
      <c r="I497" s="8">
        <v>55.0</v>
      </c>
      <c r="J497" s="9" t="s">
        <v>32</v>
      </c>
      <c r="K497" s="9" t="s">
        <v>26</v>
      </c>
      <c r="L497" s="9">
        <v>1.0</v>
      </c>
      <c r="M497" s="22" t="str">
        <f t="shared" si="2"/>
        <v>OK</v>
      </c>
      <c r="N497" s="19">
        <f t="shared" si="3"/>
        <v>5</v>
      </c>
      <c r="R497" s="14"/>
      <c r="S497" s="8"/>
      <c r="U497" s="14"/>
      <c r="V497" s="9"/>
    </row>
    <row r="498">
      <c r="A498" s="20" t="s">
        <v>1012</v>
      </c>
      <c r="B498" s="20" t="s">
        <v>1013</v>
      </c>
      <c r="C498" s="21">
        <v>45130.0</v>
      </c>
      <c r="D498" s="21">
        <v>45142.0</v>
      </c>
      <c r="E498" s="9" t="s">
        <v>14</v>
      </c>
      <c r="F498" s="8">
        <v>2.9</v>
      </c>
      <c r="G498" s="8">
        <v>75.0</v>
      </c>
      <c r="H498" s="9">
        <v>1.0</v>
      </c>
      <c r="I498" s="8">
        <v>29.0</v>
      </c>
      <c r="J498" s="9" t="s">
        <v>23</v>
      </c>
      <c r="K498" s="9" t="s">
        <v>26</v>
      </c>
      <c r="L498" s="9">
        <v>1.0</v>
      </c>
      <c r="M498" s="22" t="str">
        <f t="shared" si="2"/>
        <v>OK</v>
      </c>
      <c r="N498" s="19">
        <f t="shared" si="3"/>
        <v>2.9</v>
      </c>
      <c r="R498" s="14"/>
      <c r="S498" s="8"/>
      <c r="U498" s="14"/>
      <c r="V498" s="9"/>
    </row>
    <row r="499">
      <c r="A499" s="20" t="s">
        <v>1014</v>
      </c>
      <c r="B499" s="20" t="s">
        <v>1015</v>
      </c>
      <c r="C499" s="21">
        <v>45090.0</v>
      </c>
      <c r="D499" s="21">
        <v>45102.0</v>
      </c>
      <c r="E499" s="9" t="s">
        <v>29</v>
      </c>
      <c r="F499" s="8">
        <v>4.1</v>
      </c>
      <c r="G499" s="8">
        <v>24.0</v>
      </c>
      <c r="H499" s="9">
        <v>1.0</v>
      </c>
      <c r="I499" s="8">
        <v>26.0</v>
      </c>
      <c r="J499" s="9" t="s">
        <v>23</v>
      </c>
      <c r="K499" s="9" t="s">
        <v>16</v>
      </c>
      <c r="L499" s="9">
        <v>1.0</v>
      </c>
      <c r="M499" s="22" t="str">
        <f t="shared" si="2"/>
        <v>OK</v>
      </c>
      <c r="N499" s="19">
        <f t="shared" si="3"/>
        <v>4.1</v>
      </c>
      <c r="R499" s="14"/>
      <c r="S499" s="8"/>
      <c r="U499" s="14"/>
      <c r="V499" s="9"/>
    </row>
    <row r="500">
      <c r="A500" s="20" t="s">
        <v>1016</v>
      </c>
      <c r="B500" s="20" t="s">
        <v>1017</v>
      </c>
      <c r="C500" s="21">
        <v>45111.0</v>
      </c>
      <c r="D500" s="21">
        <v>45123.0</v>
      </c>
      <c r="E500" s="9" t="s">
        <v>22</v>
      </c>
      <c r="F500" s="8">
        <v>2.2</v>
      </c>
      <c r="G500" s="8">
        <v>36.0</v>
      </c>
      <c r="H500" s="9">
        <v>1.0</v>
      </c>
      <c r="I500" s="8">
        <v>32.0</v>
      </c>
      <c r="J500" s="9" t="s">
        <v>19</v>
      </c>
      <c r="K500" s="9" t="s">
        <v>26</v>
      </c>
      <c r="L500" s="9">
        <v>1.0</v>
      </c>
      <c r="M500" s="22" t="str">
        <f t="shared" si="2"/>
        <v>OK</v>
      </c>
      <c r="N500" s="19">
        <f t="shared" si="3"/>
        <v>2.2</v>
      </c>
      <c r="R500" s="14"/>
      <c r="S500" s="8"/>
      <c r="U500" s="14"/>
      <c r="V500" s="9"/>
    </row>
    <row r="501">
      <c r="A501" s="20" t="s">
        <v>1018</v>
      </c>
      <c r="B501" s="20" t="s">
        <v>1019</v>
      </c>
      <c r="C501" s="21">
        <v>45121.0</v>
      </c>
      <c r="D501" s="21">
        <v>45133.0</v>
      </c>
      <c r="E501" s="9" t="s">
        <v>14</v>
      </c>
      <c r="F501" s="8">
        <v>1.0</v>
      </c>
      <c r="G501" s="8">
        <v>23.0</v>
      </c>
      <c r="H501" s="9">
        <v>0.0</v>
      </c>
      <c r="I501" s="8">
        <v>19.0</v>
      </c>
      <c r="J501" s="9" t="s">
        <v>23</v>
      </c>
      <c r="K501" s="9" t="s">
        <v>47</v>
      </c>
      <c r="L501" s="9">
        <v>1.0</v>
      </c>
      <c r="M501" s="22" t="str">
        <f t="shared" si="2"/>
        <v>OK</v>
      </c>
      <c r="N501" s="19">
        <f t="shared" si="3"/>
        <v>1</v>
      </c>
      <c r="R501" s="14"/>
      <c r="S501" s="8"/>
      <c r="U501" s="14"/>
      <c r="V501" s="9"/>
    </row>
    <row r="502">
      <c r="A502" s="20" t="s">
        <v>1020</v>
      </c>
      <c r="B502" s="20" t="s">
        <v>1021</v>
      </c>
      <c r="C502" s="21">
        <v>45023.0</v>
      </c>
      <c r="D502" s="21">
        <v>45035.0</v>
      </c>
      <c r="E502" s="9" t="s">
        <v>38</v>
      </c>
      <c r="F502" s="8">
        <v>4.5</v>
      </c>
      <c r="G502" s="8">
        <v>77.0</v>
      </c>
      <c r="H502" s="9">
        <v>1.0</v>
      </c>
      <c r="I502" s="8">
        <v>39.0</v>
      </c>
      <c r="J502" s="9" t="s">
        <v>32</v>
      </c>
      <c r="K502" s="9" t="s">
        <v>16</v>
      </c>
      <c r="L502" s="9">
        <v>1.0</v>
      </c>
      <c r="M502" s="22" t="str">
        <f t="shared" si="2"/>
        <v>OK</v>
      </c>
      <c r="N502" s="19">
        <f t="shared" si="3"/>
        <v>4.5</v>
      </c>
      <c r="R502" s="14"/>
      <c r="S502" s="8"/>
      <c r="U502" s="14"/>
      <c r="V502" s="9"/>
    </row>
    <row r="503">
      <c r="A503" s="20" t="s">
        <v>1022</v>
      </c>
      <c r="B503" s="20" t="s">
        <v>1023</v>
      </c>
      <c r="C503" s="21">
        <v>45019.0</v>
      </c>
      <c r="D503" s="21">
        <v>45031.0</v>
      </c>
      <c r="E503" s="9" t="s">
        <v>29</v>
      </c>
      <c r="F503" s="8">
        <v>0.8</v>
      </c>
      <c r="G503" s="8">
        <v>61.0</v>
      </c>
      <c r="H503" s="9">
        <v>0.0</v>
      </c>
      <c r="I503" s="8">
        <v>56.0</v>
      </c>
      <c r="J503" s="9" t="s">
        <v>19</v>
      </c>
      <c r="K503" s="9" t="s">
        <v>16</v>
      </c>
      <c r="L503" s="9">
        <v>0.0</v>
      </c>
      <c r="M503" s="22" t="str">
        <f t="shared" si="2"/>
        <v>OK</v>
      </c>
      <c r="N503" s="19">
        <f t="shared" si="3"/>
        <v>0.8</v>
      </c>
      <c r="R503" s="14"/>
      <c r="S503" s="8"/>
      <c r="U503" s="14"/>
      <c r="V503" s="9"/>
    </row>
    <row r="504">
      <c r="A504" s="20" t="s">
        <v>1024</v>
      </c>
      <c r="B504" s="20" t="s">
        <v>1025</v>
      </c>
      <c r="C504" s="21">
        <v>45027.0</v>
      </c>
      <c r="D504" s="21">
        <v>45039.0</v>
      </c>
      <c r="E504" s="9" t="s">
        <v>29</v>
      </c>
      <c r="F504" s="8">
        <v>2.8</v>
      </c>
      <c r="G504" s="8">
        <v>70.0</v>
      </c>
      <c r="H504" s="9">
        <v>0.0</v>
      </c>
      <c r="I504" s="8">
        <v>47.0</v>
      </c>
      <c r="J504" s="9" t="s">
        <v>35</v>
      </c>
      <c r="K504" s="9" t="s">
        <v>26</v>
      </c>
      <c r="L504" s="9">
        <v>1.0</v>
      </c>
      <c r="M504" s="22" t="str">
        <f t="shared" si="2"/>
        <v>OK</v>
      </c>
      <c r="N504" s="19">
        <f t="shared" si="3"/>
        <v>2.8</v>
      </c>
      <c r="R504" s="14"/>
      <c r="S504" s="8"/>
      <c r="U504" s="14"/>
      <c r="V504" s="9"/>
    </row>
    <row r="505">
      <c r="A505" s="20" t="s">
        <v>1026</v>
      </c>
      <c r="B505" s="20" t="s">
        <v>1027</v>
      </c>
      <c r="C505" s="21">
        <v>45175.0</v>
      </c>
      <c r="D505" s="21">
        <v>45187.0</v>
      </c>
      <c r="E505" s="9" t="s">
        <v>22</v>
      </c>
      <c r="F505" s="8">
        <v>4.2</v>
      </c>
      <c r="G505" s="8">
        <v>72.0</v>
      </c>
      <c r="H505" s="9">
        <v>0.0</v>
      </c>
      <c r="I505" s="8">
        <v>29.0</v>
      </c>
      <c r="J505" s="9" t="s">
        <v>19</v>
      </c>
      <c r="K505" s="9" t="s">
        <v>16</v>
      </c>
      <c r="L505" s="9">
        <v>1.0</v>
      </c>
      <c r="M505" s="22" t="str">
        <f t="shared" si="2"/>
        <v>OK</v>
      </c>
      <c r="N505" s="19">
        <f t="shared" si="3"/>
        <v>4.2</v>
      </c>
      <c r="R505" s="14"/>
      <c r="S505" s="8"/>
      <c r="U505" s="14"/>
      <c r="V505" s="9"/>
    </row>
    <row r="506">
      <c r="A506" s="20" t="s">
        <v>1028</v>
      </c>
      <c r="B506" s="20" t="s">
        <v>1029</v>
      </c>
      <c r="C506" s="21">
        <v>45001.0</v>
      </c>
      <c r="D506" s="21">
        <v>45013.0</v>
      </c>
      <c r="E506" s="9" t="s">
        <v>14</v>
      </c>
      <c r="F506" s="8">
        <v>1.2</v>
      </c>
      <c r="G506" s="8">
        <v>79.0</v>
      </c>
      <c r="H506" s="9">
        <v>0.0</v>
      </c>
      <c r="I506" s="8">
        <v>35.0</v>
      </c>
      <c r="J506" s="9" t="s">
        <v>23</v>
      </c>
      <c r="K506" s="9" t="s">
        <v>26</v>
      </c>
      <c r="L506" s="9">
        <v>1.0</v>
      </c>
      <c r="M506" s="22" t="str">
        <f t="shared" si="2"/>
        <v>OK</v>
      </c>
      <c r="N506" s="19">
        <f t="shared" si="3"/>
        <v>1.2</v>
      </c>
      <c r="R506" s="14"/>
      <c r="S506" s="8"/>
      <c r="U506" s="14"/>
      <c r="V506" s="9"/>
    </row>
    <row r="507">
      <c r="A507" s="20" t="s">
        <v>1030</v>
      </c>
      <c r="B507" s="20" t="s">
        <v>1031</v>
      </c>
      <c r="C507" s="21">
        <v>45282.0</v>
      </c>
      <c r="D507" s="21">
        <v>45294.0</v>
      </c>
      <c r="E507" s="9" t="s">
        <v>22</v>
      </c>
      <c r="F507" s="8">
        <v>2.7</v>
      </c>
      <c r="G507" s="8">
        <v>25.0</v>
      </c>
      <c r="H507" s="9">
        <v>1.0</v>
      </c>
      <c r="I507" s="8">
        <v>34.0</v>
      </c>
      <c r="J507" s="9" t="s">
        <v>23</v>
      </c>
      <c r="K507" s="9" t="s">
        <v>26</v>
      </c>
      <c r="L507" s="9">
        <v>1.0</v>
      </c>
      <c r="M507" s="22" t="str">
        <f t="shared" si="2"/>
        <v>OK</v>
      </c>
      <c r="N507" s="19">
        <f t="shared" si="3"/>
        <v>2.7</v>
      </c>
      <c r="R507" s="14"/>
      <c r="S507" s="8"/>
      <c r="U507" s="14"/>
      <c r="V507" s="9"/>
    </row>
    <row r="508">
      <c r="A508" s="20" t="s">
        <v>1032</v>
      </c>
      <c r="B508" s="20" t="s">
        <v>1033</v>
      </c>
      <c r="C508" s="21">
        <v>45212.0</v>
      </c>
      <c r="D508" s="21">
        <v>45224.0</v>
      </c>
      <c r="E508" s="9" t="s">
        <v>22</v>
      </c>
      <c r="F508" s="8">
        <v>4.9</v>
      </c>
      <c r="G508" s="8">
        <v>52.0</v>
      </c>
      <c r="H508" s="9">
        <v>0.0</v>
      </c>
      <c r="I508" s="8">
        <v>25.0</v>
      </c>
      <c r="J508" s="9" t="s">
        <v>23</v>
      </c>
      <c r="K508" s="9" t="s">
        <v>16</v>
      </c>
      <c r="L508" s="9">
        <v>1.0</v>
      </c>
      <c r="M508" s="22" t="str">
        <f t="shared" si="2"/>
        <v>OK</v>
      </c>
      <c r="N508" s="19">
        <f t="shared" si="3"/>
        <v>4.9</v>
      </c>
      <c r="R508" s="14"/>
      <c r="S508" s="8"/>
      <c r="U508" s="14"/>
      <c r="V508" s="9"/>
    </row>
    <row r="509">
      <c r="A509" s="20" t="s">
        <v>1034</v>
      </c>
      <c r="B509" s="20" t="s">
        <v>1035</v>
      </c>
      <c r="C509" s="21">
        <v>45116.0</v>
      </c>
      <c r="D509" s="21">
        <v>45128.0</v>
      </c>
      <c r="E509" s="9" t="s">
        <v>29</v>
      </c>
      <c r="F509" s="8">
        <v>2.5</v>
      </c>
      <c r="G509" s="8">
        <v>19.0</v>
      </c>
      <c r="H509" s="9">
        <v>0.0</v>
      </c>
      <c r="I509" s="8">
        <v>50.0</v>
      </c>
      <c r="J509" s="9" t="s">
        <v>19</v>
      </c>
      <c r="K509" s="9" t="s">
        <v>16</v>
      </c>
      <c r="L509" s="9">
        <v>0.0</v>
      </c>
      <c r="M509" s="22" t="str">
        <f t="shared" si="2"/>
        <v>OK</v>
      </c>
      <c r="N509" s="19">
        <f t="shared" si="3"/>
        <v>2.5</v>
      </c>
      <c r="R509" s="14"/>
      <c r="S509" s="8"/>
      <c r="U509" s="14"/>
      <c r="V509" s="9"/>
    </row>
    <row r="510">
      <c r="A510" s="20" t="s">
        <v>1036</v>
      </c>
      <c r="B510" s="20" t="s">
        <v>1037</v>
      </c>
      <c r="C510" s="21">
        <v>44968.0</v>
      </c>
      <c r="D510" s="21">
        <v>44980.0</v>
      </c>
      <c r="E510" s="9" t="s">
        <v>14</v>
      </c>
      <c r="F510" s="8">
        <v>4.4</v>
      </c>
      <c r="G510" s="8">
        <v>85.0</v>
      </c>
      <c r="H510" s="9">
        <v>0.0</v>
      </c>
      <c r="I510" s="8">
        <v>33.0</v>
      </c>
      <c r="J510" s="9" t="s">
        <v>15</v>
      </c>
      <c r="K510" s="9" t="s">
        <v>47</v>
      </c>
      <c r="L510" s="9">
        <v>1.0</v>
      </c>
      <c r="M510" s="22" t="str">
        <f t="shared" si="2"/>
        <v>OK</v>
      </c>
      <c r="N510" s="19">
        <f t="shared" si="3"/>
        <v>4.4</v>
      </c>
      <c r="R510" s="14"/>
      <c r="S510" s="8"/>
      <c r="U510" s="14"/>
      <c r="V510" s="9"/>
    </row>
    <row r="511">
      <c r="A511" s="20" t="s">
        <v>1038</v>
      </c>
      <c r="B511" s="20" t="s">
        <v>1039</v>
      </c>
      <c r="C511" s="21">
        <v>45118.0</v>
      </c>
      <c r="D511" s="21">
        <v>45130.0</v>
      </c>
      <c r="E511" s="9" t="s">
        <v>14</v>
      </c>
      <c r="F511" s="8">
        <v>1.1</v>
      </c>
      <c r="G511" s="8">
        <v>83.0</v>
      </c>
      <c r="H511" s="9">
        <v>0.0</v>
      </c>
      <c r="I511" s="8">
        <v>53.0</v>
      </c>
      <c r="J511" s="9" t="s">
        <v>32</v>
      </c>
      <c r="K511" s="9" t="s">
        <v>47</v>
      </c>
      <c r="L511" s="9">
        <v>1.0</v>
      </c>
      <c r="M511" s="22" t="str">
        <f t="shared" si="2"/>
        <v>OK</v>
      </c>
      <c r="N511" s="19">
        <f t="shared" si="3"/>
        <v>1.1</v>
      </c>
      <c r="R511" s="14"/>
      <c r="S511" s="8"/>
      <c r="U511" s="14"/>
      <c r="V511" s="9"/>
    </row>
    <row r="512">
      <c r="A512" s="20" t="s">
        <v>1040</v>
      </c>
      <c r="B512" s="20" t="s">
        <v>1041</v>
      </c>
      <c r="C512" s="21">
        <v>45084.0</v>
      </c>
      <c r="D512" s="21">
        <v>45096.0</v>
      </c>
      <c r="E512" s="9" t="s">
        <v>29</v>
      </c>
      <c r="F512" s="8">
        <v>0.0</v>
      </c>
      <c r="G512" s="8">
        <v>39.0</v>
      </c>
      <c r="H512" s="9">
        <v>1.0</v>
      </c>
      <c r="I512" s="8">
        <v>30.0</v>
      </c>
      <c r="J512" s="9" t="s">
        <v>15</v>
      </c>
      <c r="K512" s="9" t="s">
        <v>16</v>
      </c>
      <c r="L512" s="9">
        <v>1.0</v>
      </c>
      <c r="M512" s="22" t="str">
        <f t="shared" si="2"/>
        <v>OK</v>
      </c>
      <c r="N512" s="19">
        <f t="shared" si="3"/>
        <v>0</v>
      </c>
      <c r="R512" s="14"/>
      <c r="S512" s="8"/>
      <c r="U512" s="14"/>
      <c r="V512" s="9"/>
    </row>
    <row r="513">
      <c r="A513" s="20" t="s">
        <v>1042</v>
      </c>
      <c r="B513" s="20" t="s">
        <v>1043</v>
      </c>
      <c r="C513" s="21">
        <v>45280.0</v>
      </c>
      <c r="D513" s="21">
        <v>45292.0</v>
      </c>
      <c r="E513" s="9" t="s">
        <v>14</v>
      </c>
      <c r="F513" s="8">
        <v>3.1</v>
      </c>
      <c r="G513" s="8">
        <v>72.0</v>
      </c>
      <c r="H513" s="9">
        <v>1.0</v>
      </c>
      <c r="I513" s="8">
        <v>14.0</v>
      </c>
      <c r="J513" s="9" t="s">
        <v>32</v>
      </c>
      <c r="K513" s="9" t="s">
        <v>47</v>
      </c>
      <c r="L513" s="9">
        <v>1.0</v>
      </c>
      <c r="M513" s="22" t="str">
        <f t="shared" si="2"/>
        <v>OK</v>
      </c>
      <c r="N513" s="19">
        <f t="shared" si="3"/>
        <v>3.1</v>
      </c>
      <c r="R513" s="14"/>
      <c r="S513" s="8"/>
      <c r="U513" s="14"/>
      <c r="V513" s="9"/>
    </row>
    <row r="514">
      <c r="A514" s="20" t="s">
        <v>1044</v>
      </c>
      <c r="B514" s="20" t="s">
        <v>1045</v>
      </c>
      <c r="C514" s="21">
        <v>45180.0</v>
      </c>
      <c r="D514" s="21">
        <v>45192.0</v>
      </c>
      <c r="E514" s="9" t="s">
        <v>29</v>
      </c>
      <c r="F514" s="8">
        <v>3.6</v>
      </c>
      <c r="G514" s="8">
        <v>67.0</v>
      </c>
      <c r="H514" s="9">
        <v>0.0</v>
      </c>
      <c r="I514" s="8">
        <v>43.0</v>
      </c>
      <c r="J514" s="9" t="s">
        <v>35</v>
      </c>
      <c r="K514" s="9" t="s">
        <v>47</v>
      </c>
      <c r="L514" s="9">
        <v>1.0</v>
      </c>
      <c r="M514" s="22" t="str">
        <f t="shared" si="2"/>
        <v>OK</v>
      </c>
      <c r="N514" s="19">
        <f t="shared" si="3"/>
        <v>3.6</v>
      </c>
      <c r="R514" s="14"/>
      <c r="S514" s="8"/>
      <c r="U514" s="14"/>
      <c r="V514" s="9"/>
    </row>
    <row r="515">
      <c r="A515" s="20" t="s">
        <v>1046</v>
      </c>
      <c r="B515" s="20" t="s">
        <v>1047</v>
      </c>
      <c r="C515" s="21">
        <v>44962.0</v>
      </c>
      <c r="D515" s="21">
        <v>44974.0</v>
      </c>
      <c r="E515" s="9" t="s">
        <v>29</v>
      </c>
      <c r="F515" s="8">
        <v>0.7</v>
      </c>
      <c r="G515" s="8">
        <v>10.0</v>
      </c>
      <c r="H515" s="9">
        <v>0.0</v>
      </c>
      <c r="I515" s="8">
        <v>48.0</v>
      </c>
      <c r="J515" s="9" t="s">
        <v>23</v>
      </c>
      <c r="K515" s="9" t="s">
        <v>16</v>
      </c>
      <c r="L515" s="9">
        <v>1.0</v>
      </c>
      <c r="M515" s="22" t="str">
        <f t="shared" si="2"/>
        <v>OK</v>
      </c>
      <c r="N515" s="19">
        <f t="shared" si="3"/>
        <v>0.7</v>
      </c>
      <c r="R515" s="14"/>
      <c r="S515" s="8"/>
      <c r="U515" s="14"/>
      <c r="V515" s="9"/>
    </row>
    <row r="516">
      <c r="A516" s="20" t="s">
        <v>1048</v>
      </c>
      <c r="B516" s="20" t="s">
        <v>1049</v>
      </c>
      <c r="C516" s="21">
        <v>45161.0</v>
      </c>
      <c r="D516" s="21">
        <v>45173.0</v>
      </c>
      <c r="E516" s="9" t="s">
        <v>38</v>
      </c>
      <c r="F516" s="8">
        <v>4.0</v>
      </c>
      <c r="G516" s="8">
        <v>2.0</v>
      </c>
      <c r="H516" s="9">
        <v>1.0</v>
      </c>
      <c r="I516" s="8">
        <v>27.0</v>
      </c>
      <c r="J516" s="9" t="s">
        <v>32</v>
      </c>
      <c r="K516" s="9" t="s">
        <v>16</v>
      </c>
      <c r="L516" s="9">
        <v>1.0</v>
      </c>
      <c r="M516" s="22" t="str">
        <f t="shared" si="2"/>
        <v>OK</v>
      </c>
      <c r="N516" s="19">
        <f t="shared" si="3"/>
        <v>4</v>
      </c>
      <c r="R516" s="14"/>
      <c r="S516" s="8"/>
      <c r="U516" s="14"/>
      <c r="V516" s="9"/>
    </row>
    <row r="517">
      <c r="A517" s="20" t="s">
        <v>1050</v>
      </c>
      <c r="B517" s="20" t="s">
        <v>1051</v>
      </c>
      <c r="C517" s="21">
        <v>45135.0</v>
      </c>
      <c r="D517" s="21">
        <v>45147.0</v>
      </c>
      <c r="E517" s="9" t="s">
        <v>14</v>
      </c>
      <c r="F517" s="8">
        <v>2.5</v>
      </c>
      <c r="G517" s="8">
        <v>76.0</v>
      </c>
      <c r="H517" s="9">
        <v>1.0</v>
      </c>
      <c r="I517" s="8">
        <v>54.0</v>
      </c>
      <c r="J517" s="9" t="s">
        <v>15</v>
      </c>
      <c r="K517" s="9" t="s">
        <v>16</v>
      </c>
      <c r="L517" s="9">
        <v>0.0</v>
      </c>
      <c r="M517" s="22" t="str">
        <f t="shared" si="2"/>
        <v>OK</v>
      </c>
      <c r="N517" s="19">
        <f t="shared" si="3"/>
        <v>2.5</v>
      </c>
      <c r="R517" s="14"/>
      <c r="S517" s="8"/>
      <c r="U517" s="14"/>
      <c r="V517" s="9"/>
    </row>
    <row r="518">
      <c r="A518" s="20" t="s">
        <v>1052</v>
      </c>
      <c r="B518" s="20" t="s">
        <v>1053</v>
      </c>
      <c r="C518" s="21">
        <v>45011.0</v>
      </c>
      <c r="D518" s="21">
        <v>45023.0</v>
      </c>
      <c r="E518" s="9" t="s">
        <v>14</v>
      </c>
      <c r="F518" s="8">
        <v>0.3</v>
      </c>
      <c r="G518" s="8">
        <v>23.0</v>
      </c>
      <c r="H518" s="9">
        <v>0.0</v>
      </c>
      <c r="I518" s="8">
        <v>37.0</v>
      </c>
      <c r="J518" s="9" t="s">
        <v>15</v>
      </c>
      <c r="K518" s="9" t="s">
        <v>26</v>
      </c>
      <c r="L518" s="9">
        <v>0.0</v>
      </c>
      <c r="M518" s="22" t="str">
        <f t="shared" si="2"/>
        <v>OK</v>
      </c>
      <c r="N518" s="19">
        <f t="shared" si="3"/>
        <v>0.3</v>
      </c>
      <c r="R518" s="14"/>
      <c r="S518" s="8"/>
      <c r="U518" s="14"/>
      <c r="V518" s="9"/>
    </row>
    <row r="519">
      <c r="A519" s="20" t="s">
        <v>1054</v>
      </c>
      <c r="B519" s="20" t="s">
        <v>1055</v>
      </c>
      <c r="C519" s="21">
        <v>44960.0</v>
      </c>
      <c r="D519" s="21">
        <v>44972.0</v>
      </c>
      <c r="E519" s="9" t="s">
        <v>22</v>
      </c>
      <c r="F519" s="8">
        <v>1.2</v>
      </c>
      <c r="G519" s="8">
        <v>71.0</v>
      </c>
      <c r="H519" s="9">
        <v>1.0</v>
      </c>
      <c r="I519" s="8">
        <v>44.0</v>
      </c>
      <c r="J519" s="9" t="s">
        <v>32</v>
      </c>
      <c r="K519" s="9" t="s">
        <v>26</v>
      </c>
      <c r="L519" s="9">
        <v>0.0</v>
      </c>
      <c r="M519" s="22" t="str">
        <f t="shared" si="2"/>
        <v>OK</v>
      </c>
      <c r="N519" s="19">
        <f t="shared" si="3"/>
        <v>1.2</v>
      </c>
      <c r="R519" s="14"/>
      <c r="S519" s="8"/>
      <c r="U519" s="14"/>
      <c r="V519" s="9"/>
    </row>
    <row r="520">
      <c r="A520" s="20" t="s">
        <v>1056</v>
      </c>
      <c r="B520" s="20" t="s">
        <v>1057</v>
      </c>
      <c r="C520" s="21">
        <v>45058.0</v>
      </c>
      <c r="D520" s="21">
        <v>45070.0</v>
      </c>
      <c r="E520" s="9" t="s">
        <v>22</v>
      </c>
      <c r="F520" s="8">
        <v>4.6</v>
      </c>
      <c r="G520" s="8">
        <v>91.0</v>
      </c>
      <c r="H520" s="9">
        <v>1.0</v>
      </c>
      <c r="I520" s="8">
        <v>24.0</v>
      </c>
      <c r="J520" s="9" t="s">
        <v>23</v>
      </c>
      <c r="K520" s="9" t="s">
        <v>47</v>
      </c>
      <c r="L520" s="9">
        <v>0.0</v>
      </c>
      <c r="M520" s="22" t="str">
        <f t="shared" si="2"/>
        <v>OK</v>
      </c>
      <c r="N520" s="19">
        <f t="shared" si="3"/>
        <v>4.6</v>
      </c>
      <c r="R520" s="14"/>
      <c r="S520" s="8"/>
      <c r="U520" s="14"/>
      <c r="V520" s="9"/>
    </row>
    <row r="521">
      <c r="A521" s="20" t="s">
        <v>1058</v>
      </c>
      <c r="B521" s="20" t="s">
        <v>1059</v>
      </c>
      <c r="C521" s="21">
        <v>45278.0</v>
      </c>
      <c r="D521" s="21">
        <v>45290.0</v>
      </c>
      <c r="E521" s="9" t="s">
        <v>29</v>
      </c>
      <c r="F521" s="8">
        <v>4.5</v>
      </c>
      <c r="G521" s="8">
        <v>79.0</v>
      </c>
      <c r="H521" s="9">
        <v>1.0</v>
      </c>
      <c r="I521" s="8">
        <v>13.0</v>
      </c>
      <c r="J521" s="9" t="s">
        <v>32</v>
      </c>
      <c r="K521" s="9" t="s">
        <v>26</v>
      </c>
      <c r="L521" s="9">
        <v>1.0</v>
      </c>
      <c r="M521" s="22" t="str">
        <f t="shared" si="2"/>
        <v>OK</v>
      </c>
      <c r="N521" s="19">
        <f t="shared" si="3"/>
        <v>4.5</v>
      </c>
      <c r="R521" s="14"/>
      <c r="S521" s="8"/>
      <c r="U521" s="14"/>
      <c r="V521" s="9"/>
    </row>
    <row r="522">
      <c r="A522" s="20" t="s">
        <v>1060</v>
      </c>
      <c r="B522" s="20" t="s">
        <v>1061</v>
      </c>
      <c r="C522" s="21">
        <v>45164.0</v>
      </c>
      <c r="D522" s="21">
        <v>45176.0</v>
      </c>
      <c r="E522" s="9" t="s">
        <v>22</v>
      </c>
      <c r="F522" s="8">
        <v>3.2</v>
      </c>
      <c r="G522" s="8">
        <v>17.0</v>
      </c>
      <c r="H522" s="9">
        <v>0.0</v>
      </c>
      <c r="I522" s="8">
        <v>49.0</v>
      </c>
      <c r="J522" s="9" t="s">
        <v>19</v>
      </c>
      <c r="K522" s="9" t="s">
        <v>47</v>
      </c>
      <c r="L522" s="9">
        <v>0.0</v>
      </c>
      <c r="M522" s="22" t="str">
        <f t="shared" si="2"/>
        <v>OK</v>
      </c>
      <c r="N522" s="19">
        <f t="shared" si="3"/>
        <v>3.2</v>
      </c>
      <c r="R522" s="14"/>
      <c r="S522" s="8"/>
      <c r="U522" s="14"/>
      <c r="V522" s="9"/>
    </row>
    <row r="523">
      <c r="A523" s="20" t="s">
        <v>1062</v>
      </c>
      <c r="B523" s="20" t="s">
        <v>1063</v>
      </c>
      <c r="C523" s="21">
        <v>45027.0</v>
      </c>
      <c r="D523" s="21">
        <v>45039.0</v>
      </c>
      <c r="E523" s="9" t="s">
        <v>29</v>
      </c>
      <c r="F523" s="8">
        <v>1.4</v>
      </c>
      <c r="G523" s="8">
        <v>100.0</v>
      </c>
      <c r="H523" s="9">
        <v>1.0</v>
      </c>
      <c r="I523" s="8">
        <v>40.0</v>
      </c>
      <c r="J523" s="9" t="s">
        <v>32</v>
      </c>
      <c r="K523" s="9" t="s">
        <v>26</v>
      </c>
      <c r="L523" s="9">
        <v>1.0</v>
      </c>
      <c r="M523" s="22" t="str">
        <f t="shared" si="2"/>
        <v>OK</v>
      </c>
      <c r="N523" s="19">
        <f t="shared" si="3"/>
        <v>1.4</v>
      </c>
      <c r="R523" s="14"/>
      <c r="S523" s="8"/>
      <c r="U523" s="14"/>
      <c r="V523" s="9"/>
    </row>
    <row r="524">
      <c r="A524" s="20" t="s">
        <v>1064</v>
      </c>
      <c r="B524" s="20" t="s">
        <v>1065</v>
      </c>
      <c r="C524" s="21">
        <v>45271.0</v>
      </c>
      <c r="D524" s="21">
        <v>45283.0</v>
      </c>
      <c r="E524" s="9" t="s">
        <v>29</v>
      </c>
      <c r="F524" s="8">
        <v>1.6</v>
      </c>
      <c r="G524" s="8">
        <v>54.0</v>
      </c>
      <c r="H524" s="9">
        <v>1.0</v>
      </c>
      <c r="I524" s="8">
        <v>46.0</v>
      </c>
      <c r="J524" s="9" t="s">
        <v>32</v>
      </c>
      <c r="K524" s="9" t="s">
        <v>26</v>
      </c>
      <c r="L524" s="9">
        <v>1.0</v>
      </c>
      <c r="M524" s="22" t="str">
        <f t="shared" si="2"/>
        <v>OK</v>
      </c>
      <c r="N524" s="19">
        <f t="shared" si="3"/>
        <v>1.6</v>
      </c>
      <c r="R524" s="14"/>
      <c r="S524" s="8"/>
      <c r="U524" s="14"/>
      <c r="V524" s="9"/>
    </row>
    <row r="525">
      <c r="A525" s="20" t="s">
        <v>1066</v>
      </c>
      <c r="B525" s="20" t="s">
        <v>1067</v>
      </c>
      <c r="C525" s="21">
        <v>45117.0</v>
      </c>
      <c r="D525" s="21">
        <v>45129.0</v>
      </c>
      <c r="E525" s="9" t="s">
        <v>29</v>
      </c>
      <c r="F525" s="8">
        <v>1.3</v>
      </c>
      <c r="G525" s="8">
        <v>98.0</v>
      </c>
      <c r="H525" s="9">
        <v>1.0</v>
      </c>
      <c r="I525" s="8">
        <v>41.0</v>
      </c>
      <c r="J525" s="9" t="s">
        <v>23</v>
      </c>
      <c r="K525" s="9" t="s">
        <v>16</v>
      </c>
      <c r="L525" s="9">
        <v>1.0</v>
      </c>
      <c r="M525" s="22" t="str">
        <f t="shared" si="2"/>
        <v>OK</v>
      </c>
      <c r="N525" s="19">
        <f t="shared" si="3"/>
        <v>1.3</v>
      </c>
      <c r="R525" s="14"/>
      <c r="S525" s="8"/>
      <c r="U525" s="14"/>
      <c r="V525" s="9"/>
    </row>
    <row r="526">
      <c r="A526" s="20" t="s">
        <v>1068</v>
      </c>
      <c r="B526" s="20" t="s">
        <v>1069</v>
      </c>
      <c r="C526" s="21">
        <v>44952.0</v>
      </c>
      <c r="D526" s="21">
        <v>44964.0</v>
      </c>
      <c r="E526" s="9" t="s">
        <v>29</v>
      </c>
      <c r="F526" s="8">
        <v>4.2</v>
      </c>
      <c r="G526" s="8">
        <v>16.0</v>
      </c>
      <c r="H526" s="9">
        <v>1.0</v>
      </c>
      <c r="I526" s="8">
        <v>17.0</v>
      </c>
      <c r="J526" s="9" t="s">
        <v>15</v>
      </c>
      <c r="K526" s="9" t="s">
        <v>16</v>
      </c>
      <c r="L526" s="9">
        <v>0.0</v>
      </c>
      <c r="M526" s="22" t="str">
        <f t="shared" si="2"/>
        <v>OK</v>
      </c>
      <c r="N526" s="19">
        <f t="shared" si="3"/>
        <v>4.2</v>
      </c>
      <c r="R526" s="14"/>
      <c r="S526" s="8"/>
      <c r="U526" s="14"/>
      <c r="V526" s="9"/>
    </row>
    <row r="527">
      <c r="A527" s="20" t="s">
        <v>1070</v>
      </c>
      <c r="B527" s="20" t="s">
        <v>1071</v>
      </c>
      <c r="C527" s="21">
        <v>45272.0</v>
      </c>
      <c r="D527" s="21">
        <v>45284.0</v>
      </c>
      <c r="E527" s="9" t="s">
        <v>29</v>
      </c>
      <c r="F527" s="8">
        <v>0.9</v>
      </c>
      <c r="G527" s="8">
        <v>44.0</v>
      </c>
      <c r="H527" s="9">
        <v>0.0</v>
      </c>
      <c r="I527" s="8">
        <v>55.0</v>
      </c>
      <c r="J527" s="9" t="s">
        <v>32</v>
      </c>
      <c r="K527" s="9" t="s">
        <v>16</v>
      </c>
      <c r="L527" s="9">
        <v>0.0</v>
      </c>
      <c r="M527" s="22" t="str">
        <f t="shared" si="2"/>
        <v>OK</v>
      </c>
      <c r="N527" s="19">
        <f t="shared" si="3"/>
        <v>0.9</v>
      </c>
      <c r="R527" s="14"/>
      <c r="S527" s="8"/>
      <c r="U527" s="14"/>
      <c r="V527" s="9"/>
    </row>
    <row r="528">
      <c r="A528" s="20" t="s">
        <v>1072</v>
      </c>
      <c r="B528" s="20" t="s">
        <v>1073</v>
      </c>
      <c r="C528" s="21">
        <v>45220.0</v>
      </c>
      <c r="D528" s="21">
        <v>45232.0</v>
      </c>
      <c r="E528" s="9" t="s">
        <v>38</v>
      </c>
      <c r="F528" s="8">
        <v>0.5</v>
      </c>
      <c r="G528" s="8">
        <v>40.0</v>
      </c>
      <c r="H528" s="9">
        <v>0.0</v>
      </c>
      <c r="I528" s="8">
        <v>18.0</v>
      </c>
      <c r="J528" s="9" t="s">
        <v>23</v>
      </c>
      <c r="K528" s="9" t="s">
        <v>16</v>
      </c>
      <c r="L528" s="9">
        <v>1.0</v>
      </c>
      <c r="M528" s="22" t="str">
        <f t="shared" si="2"/>
        <v>OK</v>
      </c>
      <c r="N528" s="19">
        <f t="shared" si="3"/>
        <v>0.5</v>
      </c>
      <c r="R528" s="14"/>
      <c r="S528" s="8"/>
      <c r="U528" s="14"/>
      <c r="V528" s="9"/>
    </row>
    <row r="529">
      <c r="A529" s="20" t="s">
        <v>1074</v>
      </c>
      <c r="B529" s="20" t="s">
        <v>1075</v>
      </c>
      <c r="C529" s="21">
        <v>45129.0</v>
      </c>
      <c r="D529" s="21">
        <v>45141.0</v>
      </c>
      <c r="E529" s="9" t="s">
        <v>14</v>
      </c>
      <c r="F529" s="8">
        <v>2.0</v>
      </c>
      <c r="G529" s="8">
        <v>86.0</v>
      </c>
      <c r="H529" s="9">
        <v>1.0</v>
      </c>
      <c r="I529" s="8">
        <v>21.0</v>
      </c>
      <c r="J529" s="9" t="s">
        <v>23</v>
      </c>
      <c r="K529" s="9" t="s">
        <v>26</v>
      </c>
      <c r="L529" s="9">
        <v>0.0</v>
      </c>
      <c r="M529" s="22" t="str">
        <f t="shared" si="2"/>
        <v>OK</v>
      </c>
      <c r="N529" s="19">
        <f t="shared" si="3"/>
        <v>2</v>
      </c>
      <c r="R529" s="14"/>
      <c r="S529" s="8"/>
      <c r="U529" s="14"/>
      <c r="V529" s="9"/>
    </row>
    <row r="530">
      <c r="A530" s="20" t="s">
        <v>1076</v>
      </c>
      <c r="B530" s="20" t="s">
        <v>1077</v>
      </c>
      <c r="C530" s="21">
        <v>45151.0</v>
      </c>
      <c r="D530" s="21">
        <v>45163.0</v>
      </c>
      <c r="E530" s="9" t="s">
        <v>22</v>
      </c>
      <c r="F530" s="8">
        <v>1.7</v>
      </c>
      <c r="G530" s="8">
        <v>62.0</v>
      </c>
      <c r="H530" s="9">
        <v>1.0</v>
      </c>
      <c r="I530" s="8">
        <v>31.0</v>
      </c>
      <c r="J530" s="9" t="s">
        <v>19</v>
      </c>
      <c r="K530" s="9" t="s">
        <v>16</v>
      </c>
      <c r="L530" s="9">
        <v>0.0</v>
      </c>
      <c r="M530" s="22" t="str">
        <f t="shared" si="2"/>
        <v>OK</v>
      </c>
      <c r="N530" s="19">
        <f t="shared" si="3"/>
        <v>1.7</v>
      </c>
      <c r="R530" s="14"/>
      <c r="S530" s="8"/>
      <c r="U530" s="14"/>
      <c r="V530" s="9"/>
    </row>
    <row r="531">
      <c r="A531" s="20" t="s">
        <v>1078</v>
      </c>
      <c r="B531" s="20" t="s">
        <v>1079</v>
      </c>
      <c r="C531" s="21">
        <v>45122.0</v>
      </c>
      <c r="D531" s="21">
        <v>45134.0</v>
      </c>
      <c r="E531" s="9" t="s">
        <v>38</v>
      </c>
      <c r="F531" s="8">
        <v>3.1</v>
      </c>
      <c r="G531" s="8">
        <v>58.0</v>
      </c>
      <c r="H531" s="9">
        <v>0.0</v>
      </c>
      <c r="I531" s="8">
        <v>15.0</v>
      </c>
      <c r="J531" s="9" t="s">
        <v>23</v>
      </c>
      <c r="K531" s="9" t="s">
        <v>47</v>
      </c>
      <c r="L531" s="9">
        <v>0.0</v>
      </c>
      <c r="M531" s="22" t="str">
        <f t="shared" si="2"/>
        <v>OK</v>
      </c>
      <c r="N531" s="19">
        <f t="shared" si="3"/>
        <v>3.1</v>
      </c>
      <c r="R531" s="14"/>
      <c r="S531" s="8"/>
      <c r="U531" s="14"/>
      <c r="V531" s="9"/>
    </row>
    <row r="532">
      <c r="A532" s="20" t="s">
        <v>1080</v>
      </c>
      <c r="B532" s="20" t="s">
        <v>1081</v>
      </c>
      <c r="C532" s="21">
        <v>45054.0</v>
      </c>
      <c r="D532" s="21">
        <v>45066.0</v>
      </c>
      <c r="E532" s="9" t="s">
        <v>14</v>
      </c>
      <c r="F532" s="8">
        <v>0.2</v>
      </c>
      <c r="G532" s="8">
        <v>92.0</v>
      </c>
      <c r="H532" s="9">
        <v>1.0</v>
      </c>
      <c r="I532" s="8">
        <v>36.0</v>
      </c>
      <c r="J532" s="9" t="s">
        <v>15</v>
      </c>
      <c r="K532" s="9" t="s">
        <v>26</v>
      </c>
      <c r="L532" s="9">
        <v>0.0</v>
      </c>
      <c r="M532" s="22" t="str">
        <f t="shared" si="2"/>
        <v>OK</v>
      </c>
      <c r="N532" s="19">
        <f t="shared" si="3"/>
        <v>0.2</v>
      </c>
      <c r="R532" s="14"/>
      <c r="S532" s="8"/>
      <c r="U532" s="14"/>
      <c r="V532" s="9"/>
    </row>
    <row r="533">
      <c r="A533" s="20" t="s">
        <v>1082</v>
      </c>
      <c r="B533" s="20" t="s">
        <v>1083</v>
      </c>
      <c r="C533" s="21">
        <v>45118.0</v>
      </c>
      <c r="D533" s="21">
        <v>45130.0</v>
      </c>
      <c r="E533" s="9" t="s">
        <v>29</v>
      </c>
      <c r="F533" s="8">
        <v>1.9</v>
      </c>
      <c r="G533" s="8">
        <v>29.0</v>
      </c>
      <c r="H533" s="9">
        <v>1.0</v>
      </c>
      <c r="I533" s="8">
        <v>28.0</v>
      </c>
      <c r="J533" s="9" t="s">
        <v>19</v>
      </c>
      <c r="K533" s="9" t="s">
        <v>47</v>
      </c>
      <c r="L533" s="9">
        <v>1.0</v>
      </c>
      <c r="M533" s="22" t="str">
        <f t="shared" si="2"/>
        <v>OK</v>
      </c>
      <c r="N533" s="19">
        <f t="shared" si="3"/>
        <v>1.9</v>
      </c>
      <c r="R533" s="14"/>
      <c r="S533" s="8"/>
      <c r="U533" s="14"/>
      <c r="V533" s="9"/>
    </row>
    <row r="534">
      <c r="A534" s="20" t="s">
        <v>1084</v>
      </c>
      <c r="B534" s="20" t="s">
        <v>1085</v>
      </c>
      <c r="C534" s="21">
        <v>45140.0</v>
      </c>
      <c r="D534" s="21">
        <v>45152.0</v>
      </c>
      <c r="E534" s="9" t="s">
        <v>14</v>
      </c>
      <c r="F534" s="8">
        <v>2.4</v>
      </c>
      <c r="G534" s="8">
        <v>96.0</v>
      </c>
      <c r="H534" s="9">
        <v>1.0</v>
      </c>
      <c r="I534" s="8">
        <v>20.0</v>
      </c>
      <c r="J534" s="9" t="s">
        <v>32</v>
      </c>
      <c r="K534" s="9" t="s">
        <v>47</v>
      </c>
      <c r="L534" s="9">
        <v>1.0</v>
      </c>
      <c r="M534" s="22" t="str">
        <f t="shared" si="2"/>
        <v>OK</v>
      </c>
      <c r="N534" s="19">
        <f t="shared" si="3"/>
        <v>2.4</v>
      </c>
      <c r="R534" s="14"/>
      <c r="S534" s="8"/>
      <c r="U534" s="14"/>
      <c r="V534" s="9"/>
    </row>
    <row r="535">
      <c r="A535" s="20" t="s">
        <v>1086</v>
      </c>
      <c r="B535" s="20" t="s">
        <v>1087</v>
      </c>
      <c r="C535" s="21">
        <v>45004.0</v>
      </c>
      <c r="D535" s="21">
        <v>45016.0</v>
      </c>
      <c r="E535" s="9" t="s">
        <v>38</v>
      </c>
      <c r="F535" s="8">
        <v>2.8</v>
      </c>
      <c r="G535" s="8">
        <v>20.0</v>
      </c>
      <c r="H535" s="9">
        <v>0.0</v>
      </c>
      <c r="I535" s="8">
        <v>38.0</v>
      </c>
      <c r="J535" s="9" t="s">
        <v>23</v>
      </c>
      <c r="K535" s="9" t="s">
        <v>26</v>
      </c>
      <c r="L535" s="9">
        <v>0.0</v>
      </c>
      <c r="M535" s="22" t="str">
        <f t="shared" si="2"/>
        <v>OK</v>
      </c>
      <c r="N535" s="19">
        <f t="shared" si="3"/>
        <v>2.8</v>
      </c>
      <c r="R535" s="14"/>
      <c r="S535" s="8"/>
      <c r="U535" s="14"/>
      <c r="V535" s="9"/>
    </row>
    <row r="536">
      <c r="A536" s="20" t="s">
        <v>1088</v>
      </c>
      <c r="B536" s="20" t="s">
        <v>1089</v>
      </c>
      <c r="C536" s="21">
        <v>45023.0</v>
      </c>
      <c r="D536" s="21">
        <v>45035.0</v>
      </c>
      <c r="E536" s="9" t="s">
        <v>38</v>
      </c>
      <c r="F536" s="8">
        <v>3.7</v>
      </c>
      <c r="G536" s="8">
        <v>13.0</v>
      </c>
      <c r="H536" s="9">
        <v>1.0</v>
      </c>
      <c r="I536" s="8">
        <v>16.0</v>
      </c>
      <c r="J536" s="9" t="s">
        <v>32</v>
      </c>
      <c r="K536" s="9" t="s">
        <v>47</v>
      </c>
      <c r="L536" s="9">
        <v>1.0</v>
      </c>
      <c r="M536" s="22" t="str">
        <f t="shared" si="2"/>
        <v>OK</v>
      </c>
      <c r="N536" s="19">
        <f t="shared" si="3"/>
        <v>3.7</v>
      </c>
      <c r="R536" s="14"/>
      <c r="S536" s="8"/>
      <c r="U536" s="14"/>
      <c r="V536" s="9"/>
    </row>
    <row r="537">
      <c r="A537" s="20" t="s">
        <v>1090</v>
      </c>
      <c r="B537" s="20" t="s">
        <v>1091</v>
      </c>
      <c r="C537" s="21">
        <v>45033.0</v>
      </c>
      <c r="D537" s="21">
        <v>45045.0</v>
      </c>
      <c r="E537" s="9" t="s">
        <v>38</v>
      </c>
      <c r="F537" s="8">
        <v>2.6</v>
      </c>
      <c r="G537" s="8">
        <v>45.0</v>
      </c>
      <c r="H537" s="9">
        <v>0.0</v>
      </c>
      <c r="I537" s="8">
        <v>52.0</v>
      </c>
      <c r="J537" s="9" t="s">
        <v>23</v>
      </c>
      <c r="K537" s="9" t="s">
        <v>16</v>
      </c>
      <c r="L537" s="9">
        <v>0.0</v>
      </c>
      <c r="M537" s="22" t="str">
        <f t="shared" si="2"/>
        <v>OK</v>
      </c>
      <c r="N537" s="19">
        <f t="shared" si="3"/>
        <v>2.6</v>
      </c>
      <c r="R537" s="14"/>
      <c r="S537" s="8"/>
      <c r="U537" s="14"/>
      <c r="V537" s="9"/>
    </row>
    <row r="538">
      <c r="A538" s="20" t="s">
        <v>1092</v>
      </c>
      <c r="B538" s="20" t="s">
        <v>1093</v>
      </c>
      <c r="C538" s="21">
        <v>44932.0</v>
      </c>
      <c r="D538" s="21">
        <v>44944.0</v>
      </c>
      <c r="E538" s="9" t="s">
        <v>22</v>
      </c>
      <c r="F538" s="8">
        <v>4.4</v>
      </c>
      <c r="G538" s="8">
        <v>3.0</v>
      </c>
      <c r="H538" s="9">
        <v>1.0</v>
      </c>
      <c r="I538" s="8">
        <v>51.0</v>
      </c>
      <c r="J538" s="9" t="s">
        <v>35</v>
      </c>
      <c r="K538" s="9" t="s">
        <v>26</v>
      </c>
      <c r="L538" s="9">
        <v>1.0</v>
      </c>
      <c r="M538" s="22" t="str">
        <f t="shared" si="2"/>
        <v>OK</v>
      </c>
      <c r="N538" s="19">
        <f t="shared" si="3"/>
        <v>4.4</v>
      </c>
      <c r="R538" s="14"/>
      <c r="S538" s="8"/>
      <c r="U538" s="14"/>
      <c r="V538" s="9"/>
    </row>
    <row r="539">
      <c r="A539" s="20" t="s">
        <v>1094</v>
      </c>
      <c r="B539" s="20" t="s">
        <v>1095</v>
      </c>
      <c r="C539" s="21">
        <v>45204.0</v>
      </c>
      <c r="D539" s="21">
        <v>45216.0</v>
      </c>
      <c r="E539" s="9" t="s">
        <v>29</v>
      </c>
      <c r="F539" s="8">
        <v>0.4</v>
      </c>
      <c r="G539" s="8">
        <v>66.0</v>
      </c>
      <c r="H539" s="9">
        <v>1.0</v>
      </c>
      <c r="I539" s="8">
        <v>12.0</v>
      </c>
      <c r="J539" s="9" t="s">
        <v>23</v>
      </c>
      <c r="K539" s="9" t="s">
        <v>16</v>
      </c>
      <c r="L539" s="9">
        <v>1.0</v>
      </c>
      <c r="M539" s="22" t="str">
        <f t="shared" si="2"/>
        <v>OK</v>
      </c>
      <c r="N539" s="19">
        <f t="shared" si="3"/>
        <v>0.4</v>
      </c>
      <c r="R539" s="14"/>
      <c r="S539" s="8"/>
      <c r="U539" s="14"/>
      <c r="V539" s="9"/>
    </row>
    <row r="540">
      <c r="A540" s="20" t="s">
        <v>1096</v>
      </c>
      <c r="B540" s="20" t="s">
        <v>1097</v>
      </c>
      <c r="C540" s="21">
        <v>45095.0</v>
      </c>
      <c r="D540" s="21">
        <v>45107.0</v>
      </c>
      <c r="E540" s="9" t="s">
        <v>14</v>
      </c>
      <c r="F540" s="8">
        <v>4.7</v>
      </c>
      <c r="G540" s="8">
        <v>78.0</v>
      </c>
      <c r="H540" s="9">
        <v>1.0</v>
      </c>
      <c r="I540" s="8">
        <v>45.0</v>
      </c>
      <c r="J540" s="9" t="s">
        <v>35</v>
      </c>
      <c r="K540" s="9" t="s">
        <v>47</v>
      </c>
      <c r="L540" s="9">
        <v>0.0</v>
      </c>
      <c r="M540" s="22" t="str">
        <f t="shared" si="2"/>
        <v>OK</v>
      </c>
      <c r="N540" s="19">
        <f t="shared" si="3"/>
        <v>4.7</v>
      </c>
      <c r="R540" s="14"/>
      <c r="S540" s="8"/>
      <c r="U540" s="14"/>
      <c r="V540" s="9"/>
    </row>
    <row r="541">
      <c r="A541" s="20" t="s">
        <v>1098</v>
      </c>
      <c r="B541" s="20" t="s">
        <v>1099</v>
      </c>
      <c r="C541" s="21">
        <v>45068.0</v>
      </c>
      <c r="D541" s="21">
        <v>45080.0</v>
      </c>
      <c r="E541" s="9" t="s">
        <v>14</v>
      </c>
      <c r="F541" s="8">
        <v>3.9</v>
      </c>
      <c r="G541" s="8">
        <v>57.0</v>
      </c>
      <c r="H541" s="9">
        <v>0.0</v>
      </c>
      <c r="I541" s="8">
        <v>42.0</v>
      </c>
      <c r="J541" s="9" t="s">
        <v>19</v>
      </c>
      <c r="K541" s="9" t="s">
        <v>16</v>
      </c>
      <c r="L541" s="9">
        <v>1.0</v>
      </c>
      <c r="M541" s="22" t="str">
        <f t="shared" si="2"/>
        <v>OK</v>
      </c>
      <c r="N541" s="19">
        <f t="shared" si="3"/>
        <v>3.9</v>
      </c>
      <c r="R541" s="14"/>
      <c r="S541" s="8"/>
      <c r="U541" s="14"/>
      <c r="V541" s="9"/>
    </row>
    <row r="542">
      <c r="A542" s="20" t="s">
        <v>1100</v>
      </c>
      <c r="B542" s="20" t="s">
        <v>1101</v>
      </c>
      <c r="C542" s="21">
        <v>44954.0</v>
      </c>
      <c r="D542" s="21">
        <v>44966.0</v>
      </c>
      <c r="E542" s="9" t="s">
        <v>14</v>
      </c>
      <c r="F542" s="8">
        <v>0.1</v>
      </c>
      <c r="G542" s="8">
        <v>59.0</v>
      </c>
      <c r="H542" s="9">
        <v>0.0</v>
      </c>
      <c r="I542" s="8">
        <v>23.0</v>
      </c>
      <c r="J542" s="9" t="s">
        <v>35</v>
      </c>
      <c r="K542" s="9" t="s">
        <v>16</v>
      </c>
      <c r="L542" s="9">
        <v>1.0</v>
      </c>
      <c r="M542" s="22" t="str">
        <f t="shared" si="2"/>
        <v>OK</v>
      </c>
      <c r="N542" s="19">
        <f t="shared" si="3"/>
        <v>0.1</v>
      </c>
      <c r="R542" s="14"/>
      <c r="S542" s="8"/>
      <c r="U542" s="14"/>
      <c r="V542" s="9"/>
    </row>
    <row r="543">
      <c r="A543" s="20" t="s">
        <v>1102</v>
      </c>
      <c r="B543" s="20" t="s">
        <v>1103</v>
      </c>
      <c r="C543" s="21">
        <v>44961.0</v>
      </c>
      <c r="D543" s="21">
        <v>44973.0</v>
      </c>
      <c r="E543" s="9" t="s">
        <v>14</v>
      </c>
      <c r="F543" s="8">
        <v>2.7</v>
      </c>
      <c r="G543" s="8">
        <v>35.0</v>
      </c>
      <c r="H543" s="9">
        <v>1.0</v>
      </c>
      <c r="I543" s="8">
        <v>22.0</v>
      </c>
      <c r="J543" s="9" t="s">
        <v>23</v>
      </c>
      <c r="K543" s="9" t="s">
        <v>26</v>
      </c>
      <c r="L543" s="9">
        <v>1.0</v>
      </c>
      <c r="M543" s="22" t="str">
        <f t="shared" si="2"/>
        <v>OK</v>
      </c>
      <c r="N543" s="19">
        <f t="shared" si="3"/>
        <v>2.7</v>
      </c>
      <c r="R543" s="14"/>
      <c r="S543" s="8"/>
      <c r="U543" s="14"/>
      <c r="V543" s="9"/>
    </row>
    <row r="544">
      <c r="A544" s="20" t="s">
        <v>1104</v>
      </c>
      <c r="B544" s="20" t="s">
        <v>1105</v>
      </c>
      <c r="C544" s="21">
        <v>44982.0</v>
      </c>
      <c r="D544" s="21">
        <v>44994.0</v>
      </c>
      <c r="E544" s="9" t="s">
        <v>14</v>
      </c>
      <c r="F544" s="8">
        <v>5.0</v>
      </c>
      <c r="G544" s="8">
        <v>77.0</v>
      </c>
      <c r="H544" s="9">
        <v>1.0</v>
      </c>
      <c r="I544" s="8">
        <v>33.0</v>
      </c>
      <c r="J544" s="9" t="s">
        <v>35</v>
      </c>
      <c r="K544" s="9" t="s">
        <v>47</v>
      </c>
      <c r="L544" s="9">
        <v>1.0</v>
      </c>
      <c r="M544" s="22" t="str">
        <f t="shared" si="2"/>
        <v>OK</v>
      </c>
      <c r="N544" s="19">
        <f t="shared" si="3"/>
        <v>5</v>
      </c>
      <c r="R544" s="14"/>
      <c r="S544" s="8"/>
      <c r="U544" s="14"/>
      <c r="V544" s="9"/>
    </row>
    <row r="545">
      <c r="A545" s="20" t="s">
        <v>1106</v>
      </c>
      <c r="B545" s="20" t="s">
        <v>1107</v>
      </c>
      <c r="C545" s="21">
        <v>45176.0</v>
      </c>
      <c r="D545" s="21">
        <v>45188.0</v>
      </c>
      <c r="E545" s="9" t="s">
        <v>22</v>
      </c>
      <c r="F545" s="8">
        <v>3.5</v>
      </c>
      <c r="G545" s="8">
        <v>55.0</v>
      </c>
      <c r="H545" s="9">
        <v>1.0</v>
      </c>
      <c r="I545" s="8">
        <v>32.0</v>
      </c>
      <c r="J545" s="9" t="s">
        <v>15</v>
      </c>
      <c r="K545" s="9" t="s">
        <v>26</v>
      </c>
      <c r="L545" s="9">
        <v>0.0</v>
      </c>
      <c r="M545" s="22" t="str">
        <f t="shared" si="2"/>
        <v>OK</v>
      </c>
      <c r="N545" s="19">
        <f t="shared" si="3"/>
        <v>3.5</v>
      </c>
      <c r="R545" s="14"/>
      <c r="S545" s="8"/>
      <c r="U545" s="14"/>
      <c r="V545" s="9"/>
    </row>
    <row r="546">
      <c r="A546" s="20" t="s">
        <v>1108</v>
      </c>
      <c r="B546" s="20" t="s">
        <v>1109</v>
      </c>
      <c r="C546" s="21">
        <v>44971.0</v>
      </c>
      <c r="D546" s="21">
        <v>44983.0</v>
      </c>
      <c r="E546" s="9" t="s">
        <v>29</v>
      </c>
      <c r="F546" s="8">
        <v>4.8</v>
      </c>
      <c r="G546" s="8">
        <v>43.0</v>
      </c>
      <c r="H546" s="9">
        <v>1.0</v>
      </c>
      <c r="I546" s="8">
        <v>26.0</v>
      </c>
      <c r="J546" s="9" t="s">
        <v>23</v>
      </c>
      <c r="K546" s="9" t="s">
        <v>16</v>
      </c>
      <c r="L546" s="9">
        <v>1.0</v>
      </c>
      <c r="M546" s="22" t="str">
        <f t="shared" si="2"/>
        <v>OK</v>
      </c>
      <c r="N546" s="19">
        <f t="shared" si="3"/>
        <v>4.8</v>
      </c>
      <c r="R546" s="14"/>
      <c r="S546" s="8"/>
      <c r="U546" s="14"/>
      <c r="V546" s="9"/>
    </row>
    <row r="547">
      <c r="A547" s="20" t="s">
        <v>1110</v>
      </c>
      <c r="B547" s="20" t="s">
        <v>1111</v>
      </c>
      <c r="C547" s="21">
        <v>45158.0</v>
      </c>
      <c r="D547" s="21">
        <v>45170.0</v>
      </c>
      <c r="E547" s="9" t="s">
        <v>38</v>
      </c>
      <c r="F547" s="8">
        <v>4.3</v>
      </c>
      <c r="G547" s="8">
        <v>9.0</v>
      </c>
      <c r="H547" s="9">
        <v>1.0</v>
      </c>
      <c r="I547" s="8">
        <v>19.0</v>
      </c>
      <c r="J547" s="9" t="s">
        <v>15</v>
      </c>
      <c r="K547" s="9" t="s">
        <v>47</v>
      </c>
      <c r="L547" s="9">
        <v>1.0</v>
      </c>
      <c r="M547" s="22" t="str">
        <f t="shared" si="2"/>
        <v>OK</v>
      </c>
      <c r="N547" s="19">
        <f t="shared" si="3"/>
        <v>4.3</v>
      </c>
      <c r="R547" s="14"/>
      <c r="S547" s="8"/>
      <c r="U547" s="14"/>
      <c r="V547" s="9"/>
    </row>
    <row r="548">
      <c r="A548" s="20" t="s">
        <v>1112</v>
      </c>
      <c r="B548" s="20" t="s">
        <v>1113</v>
      </c>
      <c r="C548" s="21">
        <v>45103.0</v>
      </c>
      <c r="D548" s="21">
        <v>45115.0</v>
      </c>
      <c r="E548" s="9" t="s">
        <v>22</v>
      </c>
      <c r="F548" s="8">
        <v>4.9</v>
      </c>
      <c r="G548" s="8">
        <v>27.0</v>
      </c>
      <c r="H548" s="9">
        <v>1.0</v>
      </c>
      <c r="I548" s="8">
        <v>44.0</v>
      </c>
      <c r="J548" s="9" t="s">
        <v>23</v>
      </c>
      <c r="K548" s="9" t="s">
        <v>47</v>
      </c>
      <c r="L548" s="9">
        <v>0.0</v>
      </c>
      <c r="M548" s="22" t="str">
        <f t="shared" si="2"/>
        <v>OK</v>
      </c>
      <c r="N548" s="19">
        <f t="shared" si="3"/>
        <v>4.9</v>
      </c>
      <c r="R548" s="14"/>
      <c r="S548" s="8"/>
      <c r="U548" s="14"/>
      <c r="V548" s="9"/>
    </row>
    <row r="549">
      <c r="A549" s="20" t="s">
        <v>1114</v>
      </c>
      <c r="B549" s="20" t="s">
        <v>1115</v>
      </c>
      <c r="C549" s="21">
        <v>45234.0</v>
      </c>
      <c r="D549" s="21">
        <v>45246.0</v>
      </c>
      <c r="E549" s="9" t="s">
        <v>29</v>
      </c>
      <c r="F549" s="8">
        <v>2.9</v>
      </c>
      <c r="G549" s="8">
        <v>50.0</v>
      </c>
      <c r="H549" s="9">
        <v>1.0</v>
      </c>
      <c r="I549" s="8">
        <v>48.0</v>
      </c>
      <c r="J549" s="9" t="s">
        <v>32</v>
      </c>
      <c r="K549" s="9" t="s">
        <v>16</v>
      </c>
      <c r="L549" s="9">
        <v>1.0</v>
      </c>
      <c r="M549" s="22" t="str">
        <f t="shared" si="2"/>
        <v>OK</v>
      </c>
      <c r="N549" s="19">
        <f t="shared" si="3"/>
        <v>2.9</v>
      </c>
      <c r="R549" s="14"/>
      <c r="S549" s="8"/>
      <c r="U549" s="14"/>
      <c r="V549" s="9"/>
    </row>
    <row r="550">
      <c r="A550" s="20" t="s">
        <v>1116</v>
      </c>
      <c r="B550" s="20" t="s">
        <v>1117</v>
      </c>
      <c r="C550" s="21">
        <v>45242.0</v>
      </c>
      <c r="D550" s="21">
        <v>45254.0</v>
      </c>
      <c r="E550" s="9" t="s">
        <v>14</v>
      </c>
      <c r="F550" s="8">
        <v>2.1</v>
      </c>
      <c r="G550" s="8">
        <v>25.0</v>
      </c>
      <c r="H550" s="9">
        <v>1.0</v>
      </c>
      <c r="I550" s="8">
        <v>21.0</v>
      </c>
      <c r="J550" s="9" t="s">
        <v>32</v>
      </c>
      <c r="K550" s="9" t="s">
        <v>16</v>
      </c>
      <c r="L550" s="9">
        <v>1.0</v>
      </c>
      <c r="M550" s="22" t="str">
        <f t="shared" si="2"/>
        <v>OK</v>
      </c>
      <c r="N550" s="19">
        <f t="shared" si="3"/>
        <v>2.1</v>
      </c>
      <c r="R550" s="14"/>
      <c r="S550" s="8"/>
      <c r="U550" s="14"/>
      <c r="V550" s="9"/>
    </row>
    <row r="551">
      <c r="A551" s="20" t="s">
        <v>1118</v>
      </c>
      <c r="B551" s="20" t="s">
        <v>1119</v>
      </c>
      <c r="C551" s="21">
        <v>44944.0</v>
      </c>
      <c r="D551" s="21">
        <v>44956.0</v>
      </c>
      <c r="E551" s="9" t="s">
        <v>29</v>
      </c>
      <c r="F551" s="8">
        <v>2.2</v>
      </c>
      <c r="G551" s="8">
        <v>24.0</v>
      </c>
      <c r="H551" s="9">
        <v>1.0</v>
      </c>
      <c r="I551" s="8">
        <v>43.0</v>
      </c>
      <c r="J551" s="9" t="s">
        <v>35</v>
      </c>
      <c r="K551" s="9" t="s">
        <v>47</v>
      </c>
      <c r="L551" s="9">
        <v>0.0</v>
      </c>
      <c r="M551" s="22" t="str">
        <f t="shared" si="2"/>
        <v>OK</v>
      </c>
      <c r="N551" s="19">
        <f t="shared" si="3"/>
        <v>2.2</v>
      </c>
      <c r="R551" s="14"/>
      <c r="S551" s="8"/>
      <c r="U551" s="14"/>
      <c r="V551" s="9"/>
    </row>
    <row r="552">
      <c r="A552" s="20" t="s">
        <v>1120</v>
      </c>
      <c r="B552" s="20" t="s">
        <v>1121</v>
      </c>
      <c r="C552" s="21">
        <v>45279.0</v>
      </c>
      <c r="D552" s="21">
        <v>45291.0</v>
      </c>
      <c r="E552" s="9" t="s">
        <v>29</v>
      </c>
      <c r="F552" s="8">
        <v>3.8</v>
      </c>
      <c r="G552" s="8">
        <v>34.0</v>
      </c>
      <c r="H552" s="9">
        <v>1.0</v>
      </c>
      <c r="I552" s="8">
        <v>13.0</v>
      </c>
      <c r="J552" s="9" t="s">
        <v>32</v>
      </c>
      <c r="K552" s="9" t="s">
        <v>47</v>
      </c>
      <c r="L552" s="9">
        <v>0.0</v>
      </c>
      <c r="M552" s="22" t="str">
        <f t="shared" si="2"/>
        <v>OK</v>
      </c>
      <c r="N552" s="19">
        <f t="shared" si="3"/>
        <v>3.8</v>
      </c>
      <c r="R552" s="14"/>
      <c r="S552" s="8"/>
      <c r="U552" s="14"/>
      <c r="V552" s="9"/>
    </row>
    <row r="553">
      <c r="A553" s="20" t="s">
        <v>1122</v>
      </c>
      <c r="B553" s="20" t="s">
        <v>1123</v>
      </c>
      <c r="C553" s="21">
        <v>45151.0</v>
      </c>
      <c r="D553" s="21">
        <v>45163.0</v>
      </c>
      <c r="E553" s="9" t="s">
        <v>22</v>
      </c>
      <c r="F553" s="8">
        <v>1.1</v>
      </c>
      <c r="G553" s="8">
        <v>75.0</v>
      </c>
      <c r="H553" s="9">
        <v>0.0</v>
      </c>
      <c r="I553" s="8">
        <v>23.0</v>
      </c>
      <c r="J553" s="9" t="s">
        <v>19</v>
      </c>
      <c r="K553" s="9" t="s">
        <v>47</v>
      </c>
      <c r="L553" s="9">
        <v>0.0</v>
      </c>
      <c r="M553" s="22" t="str">
        <f t="shared" si="2"/>
        <v>OK</v>
      </c>
      <c r="N553" s="19">
        <f t="shared" si="3"/>
        <v>1.1</v>
      </c>
      <c r="R553" s="14"/>
      <c r="S553" s="8"/>
      <c r="U553" s="14"/>
      <c r="V553" s="9"/>
    </row>
    <row r="554">
      <c r="A554" s="20" t="s">
        <v>1124</v>
      </c>
      <c r="B554" s="20" t="s">
        <v>1125</v>
      </c>
      <c r="C554" s="21">
        <v>45194.0</v>
      </c>
      <c r="D554" s="21">
        <v>45206.0</v>
      </c>
      <c r="E554" s="9" t="s">
        <v>38</v>
      </c>
      <c r="F554" s="8">
        <v>2.3</v>
      </c>
      <c r="G554" s="8">
        <v>89.0</v>
      </c>
      <c r="H554" s="9">
        <v>0.0</v>
      </c>
      <c r="I554" s="8">
        <v>29.0</v>
      </c>
      <c r="J554" s="9" t="s">
        <v>35</v>
      </c>
      <c r="K554" s="9" t="s">
        <v>26</v>
      </c>
      <c r="L554" s="9">
        <v>0.0</v>
      </c>
      <c r="M554" s="22" t="str">
        <f t="shared" si="2"/>
        <v>OK</v>
      </c>
      <c r="N554" s="19">
        <f t="shared" si="3"/>
        <v>2.3</v>
      </c>
      <c r="R554" s="14"/>
      <c r="S554" s="8"/>
      <c r="U554" s="14"/>
      <c r="V554" s="9"/>
    </row>
    <row r="555">
      <c r="A555" s="20" t="s">
        <v>1126</v>
      </c>
      <c r="B555" s="20" t="s">
        <v>1127</v>
      </c>
      <c r="C555" s="21">
        <v>45125.0</v>
      </c>
      <c r="D555" s="21">
        <v>45137.0</v>
      </c>
      <c r="E555" s="9" t="s">
        <v>22</v>
      </c>
      <c r="F555" s="8">
        <v>1.8</v>
      </c>
      <c r="G555" s="8">
        <v>28.0</v>
      </c>
      <c r="H555" s="9">
        <v>1.0</v>
      </c>
      <c r="I555" s="8">
        <v>45.0</v>
      </c>
      <c r="J555" s="9" t="s">
        <v>15</v>
      </c>
      <c r="K555" s="9" t="s">
        <v>16</v>
      </c>
      <c r="L555" s="9">
        <v>1.0</v>
      </c>
      <c r="M555" s="22" t="str">
        <f t="shared" si="2"/>
        <v>OK</v>
      </c>
      <c r="N555" s="19">
        <f t="shared" si="3"/>
        <v>1.8</v>
      </c>
      <c r="R555" s="14"/>
      <c r="S555" s="8"/>
      <c r="U555" s="14"/>
      <c r="V555" s="9"/>
    </row>
    <row r="556">
      <c r="A556" s="20" t="s">
        <v>1128</v>
      </c>
      <c r="B556" s="20" t="s">
        <v>1129</v>
      </c>
      <c r="C556" s="21">
        <v>45137.0</v>
      </c>
      <c r="D556" s="21">
        <v>45149.0</v>
      </c>
      <c r="E556" s="9" t="s">
        <v>29</v>
      </c>
      <c r="F556" s="8">
        <v>4.1</v>
      </c>
      <c r="G556" s="8">
        <v>81.0</v>
      </c>
      <c r="H556" s="9">
        <v>0.0</v>
      </c>
      <c r="I556" s="8">
        <v>42.0</v>
      </c>
      <c r="J556" s="9" t="s">
        <v>32</v>
      </c>
      <c r="K556" s="9" t="s">
        <v>16</v>
      </c>
      <c r="L556" s="9">
        <v>1.0</v>
      </c>
      <c r="M556" s="22" t="str">
        <f t="shared" si="2"/>
        <v>OK</v>
      </c>
      <c r="N556" s="19">
        <f t="shared" si="3"/>
        <v>4.1</v>
      </c>
      <c r="R556" s="14"/>
      <c r="S556" s="8"/>
      <c r="U556" s="14"/>
      <c r="V556" s="9"/>
    </row>
    <row r="557">
      <c r="A557" s="20" t="s">
        <v>1130</v>
      </c>
      <c r="B557" s="20" t="s">
        <v>1131</v>
      </c>
      <c r="C557" s="21">
        <v>45216.0</v>
      </c>
      <c r="D557" s="21">
        <v>45228.0</v>
      </c>
      <c r="E557" s="9" t="s">
        <v>29</v>
      </c>
      <c r="F557" s="8">
        <v>3.3</v>
      </c>
      <c r="G557" s="8">
        <v>82.0</v>
      </c>
      <c r="H557" s="9">
        <v>1.0</v>
      </c>
      <c r="I557" s="8">
        <v>50.0</v>
      </c>
      <c r="J557" s="9" t="s">
        <v>15</v>
      </c>
      <c r="K557" s="9" t="s">
        <v>16</v>
      </c>
      <c r="L557" s="9">
        <v>0.0</v>
      </c>
      <c r="M557" s="22" t="str">
        <f t="shared" si="2"/>
        <v>OK</v>
      </c>
      <c r="N557" s="19">
        <f t="shared" si="3"/>
        <v>3.3</v>
      </c>
      <c r="R557" s="14"/>
      <c r="S557" s="8"/>
      <c r="U557" s="14"/>
      <c r="V557" s="9"/>
    </row>
    <row r="558">
      <c r="A558" s="20" t="s">
        <v>1132</v>
      </c>
      <c r="B558" s="20" t="s">
        <v>1133</v>
      </c>
      <c r="C558" s="21">
        <v>44978.0</v>
      </c>
      <c r="D558" s="21">
        <v>44990.0</v>
      </c>
      <c r="E558" s="9" t="s">
        <v>22</v>
      </c>
      <c r="F558" s="8">
        <v>3.0</v>
      </c>
      <c r="G558" s="8">
        <v>6.0</v>
      </c>
      <c r="H558" s="9">
        <v>1.0</v>
      </c>
      <c r="I558" s="8">
        <v>47.0</v>
      </c>
      <c r="J558" s="9" t="s">
        <v>35</v>
      </c>
      <c r="K558" s="9" t="s">
        <v>26</v>
      </c>
      <c r="L558" s="9">
        <v>1.0</v>
      </c>
      <c r="M558" s="22" t="str">
        <f t="shared" si="2"/>
        <v>OK</v>
      </c>
      <c r="N558" s="19">
        <f t="shared" si="3"/>
        <v>3</v>
      </c>
      <c r="R558" s="14"/>
      <c r="S558" s="8"/>
      <c r="U558" s="14"/>
      <c r="V558" s="9"/>
    </row>
    <row r="559">
      <c r="A559" s="20" t="s">
        <v>1134</v>
      </c>
      <c r="B559" s="20" t="s">
        <v>1135</v>
      </c>
      <c r="C559" s="21">
        <v>45252.0</v>
      </c>
      <c r="D559" s="21">
        <v>45264.0</v>
      </c>
      <c r="E559" s="9" t="s">
        <v>29</v>
      </c>
      <c r="F559" s="8">
        <v>1.0</v>
      </c>
      <c r="G559" s="8">
        <v>68.0</v>
      </c>
      <c r="H559" s="9">
        <v>1.0</v>
      </c>
      <c r="I559" s="8">
        <v>17.0</v>
      </c>
      <c r="J559" s="9" t="s">
        <v>15</v>
      </c>
      <c r="K559" s="9" t="s">
        <v>47</v>
      </c>
      <c r="L559" s="9">
        <v>1.0</v>
      </c>
      <c r="M559" s="22" t="str">
        <f t="shared" si="2"/>
        <v>OK</v>
      </c>
      <c r="N559" s="19">
        <f t="shared" si="3"/>
        <v>1</v>
      </c>
      <c r="R559" s="14"/>
      <c r="S559" s="8"/>
      <c r="U559" s="14"/>
      <c r="V559" s="9"/>
    </row>
    <row r="560">
      <c r="A560" s="20" t="s">
        <v>1136</v>
      </c>
      <c r="B560" s="20" t="s">
        <v>1137</v>
      </c>
      <c r="C560" s="21">
        <v>45008.0</v>
      </c>
      <c r="D560" s="21">
        <v>45020.0</v>
      </c>
      <c r="E560" s="9" t="s">
        <v>14</v>
      </c>
      <c r="F560" s="8">
        <v>1.5</v>
      </c>
      <c r="G560" s="8">
        <v>56.0</v>
      </c>
      <c r="H560" s="9">
        <v>0.0</v>
      </c>
      <c r="I560" s="8">
        <v>20.0</v>
      </c>
      <c r="J560" s="9" t="s">
        <v>23</v>
      </c>
      <c r="K560" s="9" t="s">
        <v>47</v>
      </c>
      <c r="L560" s="9">
        <v>1.0</v>
      </c>
      <c r="M560" s="22" t="str">
        <f t="shared" si="2"/>
        <v>OK</v>
      </c>
      <c r="N560" s="19">
        <f t="shared" si="3"/>
        <v>1.5</v>
      </c>
      <c r="R560" s="14"/>
      <c r="S560" s="8"/>
      <c r="U560" s="14"/>
      <c r="V560" s="9"/>
    </row>
    <row r="561">
      <c r="A561" s="20" t="s">
        <v>1138</v>
      </c>
      <c r="B561" s="20" t="s">
        <v>1139</v>
      </c>
      <c r="C561" s="21">
        <v>45193.0</v>
      </c>
      <c r="D561" s="21">
        <v>45205.0</v>
      </c>
      <c r="E561" s="9" t="s">
        <v>29</v>
      </c>
      <c r="F561" s="8">
        <v>0.8</v>
      </c>
      <c r="G561" s="8">
        <v>14.0</v>
      </c>
      <c r="H561" s="9">
        <v>1.0</v>
      </c>
      <c r="I561" s="8">
        <v>24.0</v>
      </c>
      <c r="J561" s="9" t="s">
        <v>15</v>
      </c>
      <c r="K561" s="9" t="s">
        <v>26</v>
      </c>
      <c r="L561" s="9">
        <v>1.0</v>
      </c>
      <c r="M561" s="22" t="str">
        <f t="shared" si="2"/>
        <v>OK</v>
      </c>
      <c r="N561" s="19">
        <f t="shared" si="3"/>
        <v>0.8</v>
      </c>
      <c r="R561" s="14"/>
      <c r="S561" s="8"/>
      <c r="U561" s="14"/>
      <c r="V561" s="9"/>
    </row>
    <row r="562">
      <c r="A562" s="20" t="s">
        <v>1140</v>
      </c>
      <c r="B562" s="20" t="s">
        <v>1141</v>
      </c>
      <c r="C562" s="21">
        <v>45131.0</v>
      </c>
      <c r="D562" s="21">
        <v>45143.0</v>
      </c>
      <c r="E562" s="9" t="s">
        <v>29</v>
      </c>
      <c r="F562" s="8">
        <v>0.6</v>
      </c>
      <c r="G562" s="8">
        <v>1.0</v>
      </c>
      <c r="H562" s="9">
        <v>1.0</v>
      </c>
      <c r="I562" s="8">
        <v>51.0</v>
      </c>
      <c r="J562" s="9" t="s">
        <v>35</v>
      </c>
      <c r="K562" s="9" t="s">
        <v>26</v>
      </c>
      <c r="L562" s="9">
        <v>1.0</v>
      </c>
      <c r="M562" s="22" t="str">
        <f t="shared" si="2"/>
        <v>OK</v>
      </c>
      <c r="N562" s="19">
        <f t="shared" si="3"/>
        <v>0.6</v>
      </c>
      <c r="R562" s="14"/>
      <c r="S562" s="8"/>
      <c r="U562" s="14"/>
      <c r="V562" s="9"/>
    </row>
    <row r="563">
      <c r="A563" s="20" t="s">
        <v>1142</v>
      </c>
      <c r="B563" s="20" t="s">
        <v>1143</v>
      </c>
      <c r="C563" s="21">
        <v>44968.0</v>
      </c>
      <c r="D563" s="21">
        <v>44980.0</v>
      </c>
      <c r="E563" s="9" t="s">
        <v>14</v>
      </c>
      <c r="F563" s="8">
        <v>0.0</v>
      </c>
      <c r="G563" s="8">
        <v>52.0</v>
      </c>
      <c r="H563" s="9">
        <v>1.0</v>
      </c>
      <c r="I563" s="8">
        <v>28.0</v>
      </c>
      <c r="J563" s="9" t="s">
        <v>23</v>
      </c>
      <c r="K563" s="9" t="s">
        <v>47</v>
      </c>
      <c r="L563" s="9">
        <v>1.0</v>
      </c>
      <c r="M563" s="22" t="str">
        <f t="shared" si="2"/>
        <v>OK</v>
      </c>
      <c r="N563" s="19">
        <f t="shared" si="3"/>
        <v>0</v>
      </c>
      <c r="R563" s="14"/>
      <c r="S563" s="8"/>
      <c r="U563" s="14"/>
      <c r="V563" s="9"/>
    </row>
    <row r="564">
      <c r="A564" s="20" t="s">
        <v>1144</v>
      </c>
      <c r="B564" s="20" t="s">
        <v>1145</v>
      </c>
      <c r="C564" s="21">
        <v>45186.0</v>
      </c>
      <c r="D564" s="21">
        <v>45198.0</v>
      </c>
      <c r="E564" s="9" t="s">
        <v>38</v>
      </c>
      <c r="F564" s="8">
        <v>3.4</v>
      </c>
      <c r="G564" s="8">
        <v>80.0</v>
      </c>
      <c r="H564" s="9">
        <v>1.0</v>
      </c>
      <c r="I564" s="8">
        <v>15.0</v>
      </c>
      <c r="J564" s="9" t="s">
        <v>19</v>
      </c>
      <c r="K564" s="9" t="s">
        <v>16</v>
      </c>
      <c r="L564" s="9">
        <v>0.0</v>
      </c>
      <c r="M564" s="22" t="str">
        <f t="shared" si="2"/>
        <v>OK</v>
      </c>
      <c r="N564" s="19">
        <f t="shared" si="3"/>
        <v>3.4</v>
      </c>
      <c r="R564" s="14"/>
      <c r="S564" s="8"/>
      <c r="U564" s="14"/>
      <c r="V564" s="9"/>
    </row>
    <row r="565">
      <c r="A565" s="20" t="s">
        <v>1146</v>
      </c>
      <c r="B565" s="20" t="s">
        <v>1147</v>
      </c>
      <c r="C565" s="21">
        <v>45159.0</v>
      </c>
      <c r="D565" s="21">
        <v>45171.0</v>
      </c>
      <c r="E565" s="9" t="s">
        <v>22</v>
      </c>
      <c r="F565" s="8">
        <v>4.4</v>
      </c>
      <c r="G565" s="8">
        <v>61.0</v>
      </c>
      <c r="H565" s="9">
        <v>1.0</v>
      </c>
      <c r="I565" s="8">
        <v>52.0</v>
      </c>
      <c r="J565" s="9" t="s">
        <v>19</v>
      </c>
      <c r="K565" s="9" t="s">
        <v>16</v>
      </c>
      <c r="L565" s="9">
        <v>1.0</v>
      </c>
      <c r="M565" s="22" t="str">
        <f t="shared" si="2"/>
        <v>OK</v>
      </c>
      <c r="N565" s="19">
        <f t="shared" si="3"/>
        <v>4.4</v>
      </c>
      <c r="R565" s="14"/>
      <c r="S565" s="8"/>
      <c r="U565" s="14"/>
      <c r="V565" s="9"/>
    </row>
    <row r="566">
      <c r="A566" s="20" t="s">
        <v>1148</v>
      </c>
      <c r="B566" s="20" t="s">
        <v>1149</v>
      </c>
      <c r="C566" s="21">
        <v>45153.0</v>
      </c>
      <c r="D566" s="21">
        <v>45165.0</v>
      </c>
      <c r="E566" s="9" t="s">
        <v>22</v>
      </c>
      <c r="F566" s="8">
        <v>2.7</v>
      </c>
      <c r="G566" s="8">
        <v>42.0</v>
      </c>
      <c r="H566" s="9">
        <v>1.0</v>
      </c>
      <c r="I566" s="8">
        <v>39.0</v>
      </c>
      <c r="J566" s="9" t="s">
        <v>15</v>
      </c>
      <c r="K566" s="9" t="s">
        <v>47</v>
      </c>
      <c r="L566" s="9">
        <v>0.0</v>
      </c>
      <c r="M566" s="22" t="str">
        <f t="shared" si="2"/>
        <v>OK</v>
      </c>
      <c r="N566" s="19">
        <f t="shared" si="3"/>
        <v>2.7</v>
      </c>
      <c r="R566" s="14"/>
      <c r="S566" s="8"/>
      <c r="U566" s="14"/>
      <c r="V566" s="9"/>
    </row>
    <row r="567">
      <c r="A567" s="20" t="s">
        <v>1150</v>
      </c>
      <c r="B567" s="20" t="s">
        <v>1151</v>
      </c>
      <c r="C567" s="21">
        <v>45277.0</v>
      </c>
      <c r="D567" s="21">
        <v>45289.0</v>
      </c>
      <c r="E567" s="9" t="s">
        <v>38</v>
      </c>
      <c r="F567" s="8">
        <v>3.7</v>
      </c>
      <c r="G567" s="8">
        <v>38.0</v>
      </c>
      <c r="H567" s="9">
        <v>0.0</v>
      </c>
      <c r="I567" s="8">
        <v>40.0</v>
      </c>
      <c r="J567" s="9" t="s">
        <v>19</v>
      </c>
      <c r="K567" s="9" t="s">
        <v>26</v>
      </c>
      <c r="L567" s="9">
        <v>1.0</v>
      </c>
      <c r="M567" s="22" t="str">
        <f t="shared" si="2"/>
        <v>OK</v>
      </c>
      <c r="N567" s="19">
        <f t="shared" si="3"/>
        <v>3.7</v>
      </c>
      <c r="R567" s="14"/>
      <c r="S567" s="8"/>
      <c r="U567" s="14"/>
      <c r="V567" s="9"/>
    </row>
    <row r="568">
      <c r="A568" s="20" t="s">
        <v>1152</v>
      </c>
      <c r="B568" s="20" t="s">
        <v>1153</v>
      </c>
      <c r="C568" s="21">
        <v>45061.0</v>
      </c>
      <c r="D568" s="21">
        <v>45073.0</v>
      </c>
      <c r="E568" s="9" t="s">
        <v>14</v>
      </c>
      <c r="F568" s="8">
        <v>4.2</v>
      </c>
      <c r="G568" s="8">
        <v>30.0</v>
      </c>
      <c r="H568" s="9">
        <v>0.0</v>
      </c>
      <c r="I568" s="8">
        <v>27.0</v>
      </c>
      <c r="J568" s="9" t="s">
        <v>15</v>
      </c>
      <c r="K568" s="9" t="s">
        <v>16</v>
      </c>
      <c r="L568" s="9">
        <v>0.0</v>
      </c>
      <c r="M568" s="22" t="str">
        <f t="shared" si="2"/>
        <v>OK</v>
      </c>
      <c r="N568" s="19">
        <f t="shared" si="3"/>
        <v>4.2</v>
      </c>
      <c r="R568" s="14"/>
      <c r="S568" s="8"/>
      <c r="U568" s="14"/>
      <c r="V568" s="9"/>
    </row>
    <row r="569">
      <c r="A569" s="20" t="s">
        <v>1154</v>
      </c>
      <c r="B569" s="20" t="s">
        <v>1155</v>
      </c>
      <c r="C569" s="21">
        <v>45247.0</v>
      </c>
      <c r="D569" s="21">
        <v>45259.0</v>
      </c>
      <c r="E569" s="9" t="s">
        <v>38</v>
      </c>
      <c r="F569" s="8">
        <v>3.3</v>
      </c>
      <c r="G569" s="8">
        <v>31.0</v>
      </c>
      <c r="H569" s="9">
        <v>1.0</v>
      </c>
      <c r="I569" s="8">
        <v>30.0</v>
      </c>
      <c r="J569" s="9" t="s">
        <v>23</v>
      </c>
      <c r="K569" s="9" t="s">
        <v>47</v>
      </c>
      <c r="L569" s="9">
        <v>1.0</v>
      </c>
      <c r="M569" s="22" t="str">
        <f t="shared" si="2"/>
        <v>OK</v>
      </c>
      <c r="N569" s="19">
        <f t="shared" si="3"/>
        <v>3.3</v>
      </c>
      <c r="R569" s="14"/>
      <c r="S569" s="8"/>
      <c r="U569" s="14"/>
      <c r="V569" s="9"/>
    </row>
    <row r="570">
      <c r="A570" s="20" t="s">
        <v>1156</v>
      </c>
      <c r="B570" s="20" t="s">
        <v>1157</v>
      </c>
      <c r="C570" s="21">
        <v>44931.0</v>
      </c>
      <c r="D570" s="21">
        <v>44943.0</v>
      </c>
      <c r="E570" s="9" t="s">
        <v>29</v>
      </c>
      <c r="F570" s="8">
        <v>4.5</v>
      </c>
      <c r="G570" s="8">
        <v>18.0</v>
      </c>
      <c r="H570" s="9">
        <v>1.0</v>
      </c>
      <c r="I570" s="8">
        <v>49.0</v>
      </c>
      <c r="J570" s="9" t="s">
        <v>35</v>
      </c>
      <c r="K570" s="9" t="s">
        <v>26</v>
      </c>
      <c r="L570" s="9">
        <v>0.0</v>
      </c>
      <c r="M570" s="22" t="str">
        <f t="shared" si="2"/>
        <v>OK</v>
      </c>
      <c r="N570" s="19">
        <f t="shared" si="3"/>
        <v>4.5</v>
      </c>
      <c r="R570" s="14"/>
      <c r="S570" s="8"/>
      <c r="U570" s="14"/>
      <c r="V570" s="9"/>
    </row>
    <row r="571">
      <c r="A571" s="20" t="s">
        <v>1158</v>
      </c>
      <c r="B571" s="20" t="s">
        <v>1159</v>
      </c>
      <c r="C571" s="21">
        <v>45059.0</v>
      </c>
      <c r="D571" s="21">
        <v>45071.0</v>
      </c>
      <c r="E571" s="9" t="s">
        <v>22</v>
      </c>
      <c r="F571" s="8">
        <v>3.0</v>
      </c>
      <c r="G571" s="8">
        <v>87.0</v>
      </c>
      <c r="H571" s="9">
        <v>0.0</v>
      </c>
      <c r="I571" s="8">
        <v>31.0</v>
      </c>
      <c r="J571" s="9" t="s">
        <v>35</v>
      </c>
      <c r="K571" s="9" t="s">
        <v>47</v>
      </c>
      <c r="L571" s="9">
        <v>0.0</v>
      </c>
      <c r="M571" s="22" t="str">
        <f t="shared" si="2"/>
        <v>OK</v>
      </c>
      <c r="N571" s="19">
        <f t="shared" si="3"/>
        <v>3</v>
      </c>
      <c r="R571" s="14"/>
      <c r="S571" s="8"/>
      <c r="U571" s="14"/>
      <c r="V571" s="9"/>
    </row>
    <row r="572">
      <c r="A572" s="20" t="s">
        <v>1160</v>
      </c>
      <c r="B572" s="20" t="s">
        <v>1161</v>
      </c>
      <c r="C572" s="21">
        <v>44990.0</v>
      </c>
      <c r="D572" s="21">
        <v>45002.0</v>
      </c>
      <c r="E572" s="9" t="s">
        <v>14</v>
      </c>
      <c r="F572" s="8">
        <v>0.7</v>
      </c>
      <c r="G572" s="8">
        <v>65.0</v>
      </c>
      <c r="H572" s="9">
        <v>0.0</v>
      </c>
      <c r="I572" s="8">
        <v>53.0</v>
      </c>
      <c r="J572" s="9" t="s">
        <v>15</v>
      </c>
      <c r="K572" s="9" t="s">
        <v>47</v>
      </c>
      <c r="L572" s="9">
        <v>1.0</v>
      </c>
      <c r="M572" s="22" t="str">
        <f t="shared" si="2"/>
        <v>OK</v>
      </c>
      <c r="N572" s="19">
        <f t="shared" si="3"/>
        <v>0.7</v>
      </c>
      <c r="R572" s="14"/>
      <c r="S572" s="8"/>
      <c r="U572" s="14"/>
      <c r="V572" s="9"/>
    </row>
    <row r="573">
      <c r="A573" s="20" t="s">
        <v>1162</v>
      </c>
      <c r="B573" s="20" t="s">
        <v>1163</v>
      </c>
      <c r="C573" s="21">
        <v>45163.0</v>
      </c>
      <c r="D573" s="21">
        <v>45175.0</v>
      </c>
      <c r="E573" s="9" t="s">
        <v>22</v>
      </c>
      <c r="F573" s="8">
        <v>1.0</v>
      </c>
      <c r="G573" s="8">
        <v>8.0</v>
      </c>
      <c r="H573" s="9">
        <v>1.0</v>
      </c>
      <c r="I573" s="8">
        <v>56.0</v>
      </c>
      <c r="J573" s="9" t="s">
        <v>19</v>
      </c>
      <c r="K573" s="9" t="s">
        <v>16</v>
      </c>
      <c r="L573" s="9">
        <v>1.0</v>
      </c>
      <c r="M573" s="22" t="str">
        <f t="shared" si="2"/>
        <v>OK</v>
      </c>
      <c r="N573" s="19">
        <f t="shared" si="3"/>
        <v>1</v>
      </c>
      <c r="R573" s="14"/>
      <c r="S573" s="8"/>
      <c r="U573" s="14"/>
      <c r="V573" s="9"/>
    </row>
    <row r="574">
      <c r="A574" s="20" t="s">
        <v>1164</v>
      </c>
      <c r="B574" s="20" t="s">
        <v>1165</v>
      </c>
      <c r="C574" s="21">
        <v>45269.0</v>
      </c>
      <c r="D574" s="21">
        <v>45281.0</v>
      </c>
      <c r="E574" s="9" t="s">
        <v>29</v>
      </c>
      <c r="F574" s="8">
        <v>2.1</v>
      </c>
      <c r="G574" s="8">
        <v>99.0</v>
      </c>
      <c r="H574" s="9">
        <v>1.0</v>
      </c>
      <c r="I574" s="8">
        <v>25.0</v>
      </c>
      <c r="J574" s="9" t="s">
        <v>32</v>
      </c>
      <c r="K574" s="9" t="s">
        <v>47</v>
      </c>
      <c r="L574" s="9">
        <v>1.0</v>
      </c>
      <c r="M574" s="22" t="str">
        <f t="shared" si="2"/>
        <v>OK</v>
      </c>
      <c r="N574" s="19">
        <f t="shared" si="3"/>
        <v>2.1</v>
      </c>
      <c r="R574" s="14"/>
      <c r="S574" s="8"/>
      <c r="U574" s="14"/>
      <c r="V574" s="9"/>
    </row>
    <row r="575">
      <c r="A575" s="20" t="s">
        <v>1166</v>
      </c>
      <c r="B575" s="20" t="s">
        <v>1167</v>
      </c>
      <c r="C575" s="21">
        <v>45205.0</v>
      </c>
      <c r="D575" s="21">
        <v>45217.0</v>
      </c>
      <c r="E575" s="9" t="s">
        <v>38</v>
      </c>
      <c r="F575" s="8">
        <v>2.5</v>
      </c>
      <c r="G575" s="8">
        <v>48.0</v>
      </c>
      <c r="H575" s="9">
        <v>0.0</v>
      </c>
      <c r="I575" s="8">
        <v>37.0</v>
      </c>
      <c r="J575" s="9" t="s">
        <v>15</v>
      </c>
      <c r="K575" s="9" t="s">
        <v>26</v>
      </c>
      <c r="L575" s="9">
        <v>0.0</v>
      </c>
      <c r="M575" s="22" t="str">
        <f t="shared" si="2"/>
        <v>OK</v>
      </c>
      <c r="N575" s="19">
        <f t="shared" si="3"/>
        <v>2.5</v>
      </c>
      <c r="R575" s="14"/>
      <c r="S575" s="8"/>
      <c r="U575" s="14"/>
      <c r="V575" s="9"/>
    </row>
    <row r="576">
      <c r="A576" s="20" t="s">
        <v>1168</v>
      </c>
      <c r="B576" s="20" t="s">
        <v>1169</v>
      </c>
      <c r="C576" s="21">
        <v>45014.0</v>
      </c>
      <c r="D576" s="21">
        <v>45026.0</v>
      </c>
      <c r="E576" s="9" t="s">
        <v>22</v>
      </c>
      <c r="F576" s="8">
        <v>2.3</v>
      </c>
      <c r="G576" s="8">
        <v>97.0</v>
      </c>
      <c r="H576" s="9">
        <v>0.0</v>
      </c>
      <c r="I576" s="8">
        <v>34.0</v>
      </c>
      <c r="J576" s="9" t="s">
        <v>19</v>
      </c>
      <c r="K576" s="9" t="s">
        <v>26</v>
      </c>
      <c r="L576" s="9">
        <v>1.0</v>
      </c>
      <c r="M576" s="22" t="str">
        <f t="shared" si="2"/>
        <v>OK</v>
      </c>
      <c r="N576" s="19">
        <f t="shared" si="3"/>
        <v>2.3</v>
      </c>
      <c r="R576" s="14"/>
      <c r="S576" s="8"/>
      <c r="U576" s="14"/>
      <c r="V576" s="9"/>
    </row>
    <row r="577">
      <c r="A577" s="20" t="s">
        <v>1170</v>
      </c>
      <c r="B577" s="20" t="s">
        <v>1171</v>
      </c>
      <c r="C577" s="21">
        <v>45232.0</v>
      </c>
      <c r="D577" s="21">
        <v>45244.0</v>
      </c>
      <c r="E577" s="9" t="s">
        <v>14</v>
      </c>
      <c r="F577" s="8">
        <v>4.1</v>
      </c>
      <c r="G577" s="8">
        <v>94.0</v>
      </c>
      <c r="H577" s="9">
        <v>1.0</v>
      </c>
      <c r="I577" s="8">
        <v>22.0</v>
      </c>
      <c r="J577" s="9" t="s">
        <v>19</v>
      </c>
      <c r="K577" s="9" t="s">
        <v>26</v>
      </c>
      <c r="L577" s="9">
        <v>0.0</v>
      </c>
      <c r="M577" s="22" t="str">
        <f t="shared" si="2"/>
        <v>OK</v>
      </c>
      <c r="N577" s="19">
        <f t="shared" si="3"/>
        <v>4.1</v>
      </c>
      <c r="R577" s="14"/>
      <c r="S577" s="8"/>
      <c r="U577" s="14"/>
      <c r="V577" s="9"/>
    </row>
    <row r="578">
      <c r="A578" s="20" t="s">
        <v>1172</v>
      </c>
      <c r="B578" s="20" t="s">
        <v>1173</v>
      </c>
      <c r="C578" s="21">
        <v>45209.0</v>
      </c>
      <c r="D578" s="21">
        <v>45221.0</v>
      </c>
      <c r="E578" s="9" t="s">
        <v>29</v>
      </c>
      <c r="F578" s="8">
        <v>2.4</v>
      </c>
      <c r="G578" s="8">
        <v>7.0</v>
      </c>
      <c r="H578" s="9">
        <v>0.0</v>
      </c>
      <c r="I578" s="8">
        <v>41.0</v>
      </c>
      <c r="J578" s="9" t="s">
        <v>23</v>
      </c>
      <c r="K578" s="9" t="s">
        <v>16</v>
      </c>
      <c r="L578" s="9">
        <v>0.0</v>
      </c>
      <c r="M578" s="22" t="str">
        <f t="shared" si="2"/>
        <v>OK</v>
      </c>
      <c r="N578" s="19">
        <f t="shared" si="3"/>
        <v>2.4</v>
      </c>
      <c r="R578" s="14"/>
      <c r="S578" s="8"/>
      <c r="U578" s="14"/>
      <c r="V578" s="9"/>
    </row>
    <row r="579">
      <c r="A579" s="20" t="s">
        <v>1174</v>
      </c>
      <c r="B579" s="20" t="s">
        <v>1175</v>
      </c>
      <c r="C579" s="21">
        <v>45045.0</v>
      </c>
      <c r="D579" s="21">
        <v>45057.0</v>
      </c>
      <c r="E579" s="9" t="s">
        <v>29</v>
      </c>
      <c r="F579" s="8">
        <v>2.0</v>
      </c>
      <c r="G579" s="8">
        <v>95.0</v>
      </c>
      <c r="H579" s="9">
        <v>0.0</v>
      </c>
      <c r="I579" s="8">
        <v>54.0</v>
      </c>
      <c r="J579" s="9" t="s">
        <v>35</v>
      </c>
      <c r="K579" s="9" t="s">
        <v>47</v>
      </c>
      <c r="L579" s="9">
        <v>0.0</v>
      </c>
      <c r="M579" s="22" t="str">
        <f t="shared" si="2"/>
        <v>OK</v>
      </c>
      <c r="N579" s="19">
        <f t="shared" si="3"/>
        <v>2</v>
      </c>
      <c r="R579" s="14"/>
      <c r="S579" s="8"/>
      <c r="U579" s="14"/>
      <c r="V579" s="9"/>
    </row>
    <row r="580">
      <c r="A580" s="20" t="s">
        <v>1176</v>
      </c>
      <c r="B580" s="20" t="s">
        <v>1177</v>
      </c>
      <c r="C580" s="21">
        <v>45239.0</v>
      </c>
      <c r="D580" s="21">
        <v>45251.0</v>
      </c>
      <c r="E580" s="9" t="s">
        <v>38</v>
      </c>
      <c r="F580" s="8">
        <v>4.9</v>
      </c>
      <c r="G580" s="8">
        <v>63.0</v>
      </c>
      <c r="H580" s="9">
        <v>0.0</v>
      </c>
      <c r="I580" s="8">
        <v>46.0</v>
      </c>
      <c r="J580" s="9" t="s">
        <v>35</v>
      </c>
      <c r="K580" s="9" t="s">
        <v>47</v>
      </c>
      <c r="L580" s="9">
        <v>0.0</v>
      </c>
      <c r="M580" s="22" t="str">
        <f t="shared" si="2"/>
        <v>OK</v>
      </c>
      <c r="N580" s="19">
        <f t="shared" si="3"/>
        <v>4.9</v>
      </c>
      <c r="R580" s="14"/>
      <c r="S580" s="8"/>
      <c r="U580" s="14"/>
      <c r="V580" s="9"/>
    </row>
    <row r="581">
      <c r="A581" s="20" t="s">
        <v>1178</v>
      </c>
      <c r="B581" s="20" t="s">
        <v>1179</v>
      </c>
      <c r="C581" s="21">
        <v>45066.0</v>
      </c>
      <c r="D581" s="21">
        <v>45078.0</v>
      </c>
      <c r="E581" s="9" t="s">
        <v>38</v>
      </c>
      <c r="F581" s="8">
        <v>3.4</v>
      </c>
      <c r="G581" s="8">
        <v>36.0</v>
      </c>
      <c r="H581" s="9">
        <v>1.0</v>
      </c>
      <c r="I581" s="8">
        <v>35.0</v>
      </c>
      <c r="J581" s="9" t="s">
        <v>35</v>
      </c>
      <c r="K581" s="9" t="s">
        <v>16</v>
      </c>
      <c r="L581" s="9">
        <v>1.0</v>
      </c>
      <c r="M581" s="22" t="str">
        <f t="shared" si="2"/>
        <v>OK</v>
      </c>
      <c r="N581" s="19">
        <f t="shared" si="3"/>
        <v>3.4</v>
      </c>
      <c r="R581" s="14"/>
      <c r="S581" s="8"/>
      <c r="U581" s="14"/>
      <c r="V581" s="9"/>
    </row>
    <row r="582">
      <c r="A582" s="20" t="s">
        <v>1180</v>
      </c>
      <c r="B582" s="20" t="s">
        <v>1181</v>
      </c>
      <c r="C582" s="21">
        <v>44939.0</v>
      </c>
      <c r="D582" s="21">
        <v>44951.0</v>
      </c>
      <c r="E582" s="9" t="s">
        <v>38</v>
      </c>
      <c r="F582" s="8">
        <v>1.9</v>
      </c>
      <c r="G582" s="8">
        <v>70.0</v>
      </c>
      <c r="H582" s="9">
        <v>0.0</v>
      </c>
      <c r="I582" s="8">
        <v>38.0</v>
      </c>
      <c r="J582" s="9" t="s">
        <v>35</v>
      </c>
      <c r="K582" s="9" t="s">
        <v>26</v>
      </c>
      <c r="L582" s="9">
        <v>1.0</v>
      </c>
      <c r="M582" s="22" t="str">
        <f t="shared" si="2"/>
        <v>OK</v>
      </c>
      <c r="N582" s="19">
        <f t="shared" si="3"/>
        <v>1.9</v>
      </c>
      <c r="R582" s="14"/>
      <c r="S582" s="8"/>
      <c r="U582" s="14"/>
      <c r="V582" s="9"/>
    </row>
    <row r="583">
      <c r="A583" s="20" t="s">
        <v>1182</v>
      </c>
      <c r="B583" s="20" t="s">
        <v>1183</v>
      </c>
      <c r="C583" s="21">
        <v>44929.0</v>
      </c>
      <c r="D583" s="21">
        <v>44941.0</v>
      </c>
      <c r="E583" s="9" t="s">
        <v>38</v>
      </c>
      <c r="F583" s="8">
        <v>0.6</v>
      </c>
      <c r="G583" s="8">
        <v>47.0</v>
      </c>
      <c r="H583" s="9">
        <v>0.0</v>
      </c>
      <c r="I583" s="8">
        <v>36.0</v>
      </c>
      <c r="J583" s="9" t="s">
        <v>19</v>
      </c>
      <c r="K583" s="9" t="s">
        <v>26</v>
      </c>
      <c r="L583" s="9">
        <v>0.0</v>
      </c>
      <c r="M583" s="22" t="str">
        <f t="shared" si="2"/>
        <v>OK</v>
      </c>
      <c r="N583" s="19">
        <f t="shared" si="3"/>
        <v>0.6</v>
      </c>
      <c r="R583" s="14"/>
      <c r="S583" s="8"/>
      <c r="U583" s="14"/>
      <c r="V583" s="9"/>
    </row>
    <row r="584">
      <c r="A584" s="20" t="s">
        <v>1184</v>
      </c>
      <c r="B584" s="20" t="s">
        <v>1185</v>
      </c>
      <c r="C584" s="21">
        <v>45018.0</v>
      </c>
      <c r="D584" s="21">
        <v>45030.0</v>
      </c>
      <c r="E584" s="9" t="s">
        <v>22</v>
      </c>
      <c r="F584" s="8">
        <v>2.8</v>
      </c>
      <c r="G584" s="8">
        <v>37.0</v>
      </c>
      <c r="H584" s="9">
        <v>1.0</v>
      </c>
      <c r="I584" s="8">
        <v>14.0</v>
      </c>
      <c r="J584" s="9" t="s">
        <v>15</v>
      </c>
      <c r="K584" s="9" t="s">
        <v>26</v>
      </c>
      <c r="L584" s="9">
        <v>0.0</v>
      </c>
      <c r="M584" s="22" t="str">
        <f t="shared" si="2"/>
        <v>OK</v>
      </c>
      <c r="N584" s="19">
        <f t="shared" si="3"/>
        <v>2.8</v>
      </c>
      <c r="R584" s="14"/>
      <c r="S584" s="8"/>
      <c r="U584" s="14"/>
      <c r="V584" s="9"/>
    </row>
    <row r="585">
      <c r="A585" s="20" t="s">
        <v>1186</v>
      </c>
      <c r="B585" s="20" t="s">
        <v>1187</v>
      </c>
      <c r="C585" s="21">
        <v>45131.0</v>
      </c>
      <c r="D585" s="21">
        <v>45143.0</v>
      </c>
      <c r="E585" s="9" t="s">
        <v>14</v>
      </c>
      <c r="F585" s="8">
        <v>0.9</v>
      </c>
      <c r="G585" s="8">
        <v>51.0</v>
      </c>
      <c r="H585" s="9">
        <v>1.0</v>
      </c>
      <c r="I585" s="8">
        <v>12.0</v>
      </c>
      <c r="J585" s="9" t="s">
        <v>35</v>
      </c>
      <c r="K585" s="9" t="s">
        <v>47</v>
      </c>
      <c r="L585" s="9">
        <v>1.0</v>
      </c>
      <c r="M585" s="22" t="str">
        <f t="shared" si="2"/>
        <v>OK</v>
      </c>
      <c r="N585" s="19">
        <f t="shared" si="3"/>
        <v>0.9</v>
      </c>
      <c r="R585" s="14"/>
      <c r="S585" s="8"/>
      <c r="U585" s="14"/>
      <c r="V585" s="9"/>
    </row>
    <row r="586">
      <c r="A586" s="20" t="s">
        <v>1188</v>
      </c>
      <c r="B586" s="20" t="s">
        <v>1189</v>
      </c>
      <c r="C586" s="21">
        <v>45044.0</v>
      </c>
      <c r="D586" s="21">
        <v>45056.0</v>
      </c>
      <c r="E586" s="9" t="s">
        <v>14</v>
      </c>
      <c r="F586" s="8">
        <v>0.8</v>
      </c>
      <c r="G586" s="8">
        <v>26.0</v>
      </c>
      <c r="H586" s="9">
        <v>1.0</v>
      </c>
      <c r="I586" s="8">
        <v>16.0</v>
      </c>
      <c r="J586" s="9" t="s">
        <v>15</v>
      </c>
      <c r="K586" s="9" t="s">
        <v>16</v>
      </c>
      <c r="L586" s="9">
        <v>0.0</v>
      </c>
      <c r="M586" s="22" t="str">
        <f t="shared" si="2"/>
        <v>OK</v>
      </c>
      <c r="N586" s="19">
        <f t="shared" si="3"/>
        <v>0.8</v>
      </c>
      <c r="R586" s="14"/>
      <c r="S586" s="8"/>
      <c r="U586" s="14"/>
      <c r="V586" s="9"/>
    </row>
    <row r="587">
      <c r="A587" s="20" t="s">
        <v>1190</v>
      </c>
      <c r="B587" s="20" t="s">
        <v>1191</v>
      </c>
      <c r="C587" s="21">
        <v>45048.0</v>
      </c>
      <c r="D587" s="21">
        <v>45060.0</v>
      </c>
      <c r="E587" s="9" t="s">
        <v>29</v>
      </c>
      <c r="F587" s="8">
        <v>3.5</v>
      </c>
      <c r="G587" s="8">
        <v>93.0</v>
      </c>
      <c r="H587" s="9">
        <v>1.0</v>
      </c>
      <c r="I587" s="8">
        <v>18.0</v>
      </c>
      <c r="J587" s="9" t="s">
        <v>15</v>
      </c>
      <c r="K587" s="9" t="s">
        <v>26</v>
      </c>
      <c r="L587" s="9">
        <v>1.0</v>
      </c>
      <c r="M587" s="22" t="str">
        <f t="shared" si="2"/>
        <v>OK</v>
      </c>
      <c r="N587" s="19">
        <f t="shared" si="3"/>
        <v>3.5</v>
      </c>
      <c r="R587" s="14"/>
      <c r="S587" s="8"/>
      <c r="U587" s="14"/>
      <c r="V587" s="9"/>
    </row>
    <row r="588">
      <c r="A588" s="20" t="s">
        <v>1192</v>
      </c>
      <c r="B588" s="20" t="s">
        <v>1193</v>
      </c>
      <c r="C588" s="21">
        <v>45048.0</v>
      </c>
      <c r="D588" s="21">
        <v>45060.0</v>
      </c>
      <c r="E588" s="9" t="s">
        <v>14</v>
      </c>
      <c r="F588" s="8">
        <v>0.5</v>
      </c>
      <c r="G588" s="8">
        <v>5.0</v>
      </c>
      <c r="H588" s="9">
        <v>1.0</v>
      </c>
      <c r="I588" s="8">
        <v>55.0</v>
      </c>
      <c r="J588" s="9" t="s">
        <v>19</v>
      </c>
      <c r="K588" s="9" t="s">
        <v>47</v>
      </c>
      <c r="L588" s="9">
        <v>1.0</v>
      </c>
      <c r="M588" s="22" t="str">
        <f t="shared" si="2"/>
        <v>OK</v>
      </c>
      <c r="N588" s="19">
        <f t="shared" si="3"/>
        <v>0.5</v>
      </c>
      <c r="R588" s="14"/>
      <c r="S588" s="8"/>
      <c r="U588" s="14"/>
      <c r="V588" s="9"/>
    </row>
    <row r="589">
      <c r="A589" s="20" t="s">
        <v>1194</v>
      </c>
      <c r="B589" s="20" t="s">
        <v>1195</v>
      </c>
      <c r="C589" s="21">
        <v>45160.0</v>
      </c>
      <c r="D589" s="21">
        <v>45172.0</v>
      </c>
      <c r="E589" s="9" t="s">
        <v>22</v>
      </c>
      <c r="F589" s="8">
        <v>3.8</v>
      </c>
      <c r="G589" s="8">
        <v>4.0</v>
      </c>
      <c r="H589" s="9">
        <v>1.0</v>
      </c>
      <c r="I589" s="8">
        <v>38.0</v>
      </c>
      <c r="J589" s="9" t="s">
        <v>15</v>
      </c>
      <c r="K589" s="9" t="s">
        <v>47</v>
      </c>
      <c r="L589" s="9">
        <v>0.0</v>
      </c>
      <c r="M589" s="22" t="str">
        <f t="shared" si="2"/>
        <v>OK</v>
      </c>
      <c r="N589" s="19">
        <f t="shared" si="3"/>
        <v>3.8</v>
      </c>
      <c r="R589" s="14"/>
      <c r="S589" s="8"/>
      <c r="U589" s="14"/>
      <c r="V589" s="9"/>
    </row>
    <row r="590">
      <c r="A590" s="20" t="s">
        <v>1196</v>
      </c>
      <c r="B590" s="20" t="s">
        <v>1197</v>
      </c>
      <c r="C590" s="21">
        <v>44962.0</v>
      </c>
      <c r="D590" s="21">
        <v>44974.0</v>
      </c>
      <c r="E590" s="9" t="s">
        <v>14</v>
      </c>
      <c r="F590" s="8">
        <v>4.0</v>
      </c>
      <c r="G590" s="8">
        <v>15.0</v>
      </c>
      <c r="H590" s="9">
        <v>0.0</v>
      </c>
      <c r="I590" s="8">
        <v>44.0</v>
      </c>
      <c r="J590" s="9" t="s">
        <v>19</v>
      </c>
      <c r="K590" s="9" t="s">
        <v>26</v>
      </c>
      <c r="L590" s="9">
        <v>0.0</v>
      </c>
      <c r="M590" s="22" t="str">
        <f t="shared" si="2"/>
        <v>OK</v>
      </c>
      <c r="N590" s="19">
        <f t="shared" si="3"/>
        <v>4</v>
      </c>
      <c r="R590" s="14"/>
      <c r="S590" s="8"/>
      <c r="U590" s="14"/>
      <c r="V590" s="9"/>
    </row>
    <row r="591">
      <c r="A591" s="20" t="s">
        <v>1198</v>
      </c>
      <c r="B591" s="20" t="s">
        <v>1199</v>
      </c>
      <c r="C591" s="21">
        <v>45055.0</v>
      </c>
      <c r="D591" s="21">
        <v>45067.0</v>
      </c>
      <c r="E591" s="9" t="s">
        <v>38</v>
      </c>
      <c r="F591" s="8">
        <v>0.4</v>
      </c>
      <c r="G591" s="8">
        <v>33.0</v>
      </c>
      <c r="H591" s="9">
        <v>0.0</v>
      </c>
      <c r="I591" s="8">
        <v>18.0</v>
      </c>
      <c r="J591" s="9" t="s">
        <v>32</v>
      </c>
      <c r="K591" s="9" t="s">
        <v>26</v>
      </c>
      <c r="L591" s="9">
        <v>0.0</v>
      </c>
      <c r="M591" s="22" t="str">
        <f t="shared" si="2"/>
        <v>OK</v>
      </c>
      <c r="N591" s="19">
        <f t="shared" si="3"/>
        <v>0.4</v>
      </c>
      <c r="R591" s="14"/>
      <c r="S591" s="8"/>
      <c r="U591" s="14"/>
      <c r="V591" s="9"/>
    </row>
    <row r="592">
      <c r="A592" s="20" t="s">
        <v>1200</v>
      </c>
      <c r="B592" s="20" t="s">
        <v>1201</v>
      </c>
      <c r="C592" s="21">
        <v>45244.0</v>
      </c>
      <c r="D592" s="21">
        <v>45256.0</v>
      </c>
      <c r="E592" s="9" t="s">
        <v>29</v>
      </c>
      <c r="F592" s="8">
        <v>3.1</v>
      </c>
      <c r="G592" s="8">
        <v>84.0</v>
      </c>
      <c r="H592" s="9">
        <v>0.0</v>
      </c>
      <c r="I592" s="8">
        <v>36.0</v>
      </c>
      <c r="J592" s="9" t="s">
        <v>19</v>
      </c>
      <c r="K592" s="9" t="s">
        <v>47</v>
      </c>
      <c r="L592" s="9">
        <v>1.0</v>
      </c>
      <c r="M592" s="22" t="str">
        <f t="shared" si="2"/>
        <v>OK</v>
      </c>
      <c r="N592" s="19">
        <f t="shared" si="3"/>
        <v>3.1</v>
      </c>
      <c r="R592" s="14"/>
      <c r="S592" s="8"/>
      <c r="U592" s="14"/>
      <c r="V592" s="9"/>
    </row>
    <row r="593">
      <c r="A593" s="20" t="s">
        <v>1202</v>
      </c>
      <c r="B593" s="20" t="s">
        <v>1203</v>
      </c>
      <c r="C593" s="21">
        <v>45004.0</v>
      </c>
      <c r="D593" s="21">
        <v>45016.0</v>
      </c>
      <c r="E593" s="9" t="s">
        <v>14</v>
      </c>
      <c r="F593" s="8">
        <v>0.0</v>
      </c>
      <c r="G593" s="8">
        <v>32.0</v>
      </c>
      <c r="H593" s="9">
        <v>1.0</v>
      </c>
      <c r="I593" s="8">
        <v>26.0</v>
      </c>
      <c r="J593" s="9" t="s">
        <v>35</v>
      </c>
      <c r="K593" s="9" t="s">
        <v>16</v>
      </c>
      <c r="L593" s="9">
        <v>1.0</v>
      </c>
      <c r="M593" s="22" t="str">
        <f t="shared" si="2"/>
        <v>OK</v>
      </c>
      <c r="N593" s="19">
        <f t="shared" si="3"/>
        <v>0</v>
      </c>
      <c r="R593" s="14"/>
      <c r="S593" s="8"/>
      <c r="U593" s="14"/>
      <c r="V593" s="9"/>
    </row>
    <row r="594">
      <c r="A594" s="20" t="s">
        <v>1204</v>
      </c>
      <c r="B594" s="20" t="s">
        <v>1205</v>
      </c>
      <c r="C594" s="21">
        <v>45028.0</v>
      </c>
      <c r="D594" s="21">
        <v>45040.0</v>
      </c>
      <c r="E594" s="9" t="s">
        <v>14</v>
      </c>
      <c r="F594" s="8">
        <v>4.3</v>
      </c>
      <c r="G594" s="8">
        <v>12.0</v>
      </c>
      <c r="H594" s="9">
        <v>1.0</v>
      </c>
      <c r="I594" s="8">
        <v>55.0</v>
      </c>
      <c r="J594" s="9" t="s">
        <v>35</v>
      </c>
      <c r="K594" s="9" t="s">
        <v>16</v>
      </c>
      <c r="L594" s="9">
        <v>1.0</v>
      </c>
      <c r="M594" s="22" t="str">
        <f t="shared" si="2"/>
        <v>OK</v>
      </c>
      <c r="N594" s="19">
        <f t="shared" si="3"/>
        <v>4.3</v>
      </c>
      <c r="R594" s="14"/>
      <c r="S594" s="8"/>
      <c r="U594" s="14"/>
      <c r="V594" s="9"/>
    </row>
    <row r="595">
      <c r="A595" s="20" t="s">
        <v>1206</v>
      </c>
      <c r="B595" s="20" t="s">
        <v>1207</v>
      </c>
      <c r="C595" s="21">
        <v>44937.0</v>
      </c>
      <c r="D595" s="21">
        <v>44949.0</v>
      </c>
      <c r="E595" s="9" t="s">
        <v>29</v>
      </c>
      <c r="F595" s="8">
        <v>1.6</v>
      </c>
      <c r="G595" s="8">
        <v>53.0</v>
      </c>
      <c r="H595" s="9">
        <v>0.0</v>
      </c>
      <c r="I595" s="8">
        <v>31.0</v>
      </c>
      <c r="J595" s="9" t="s">
        <v>23</v>
      </c>
      <c r="K595" s="9" t="s">
        <v>16</v>
      </c>
      <c r="L595" s="9">
        <v>0.0</v>
      </c>
      <c r="M595" s="22" t="str">
        <f t="shared" si="2"/>
        <v>OK</v>
      </c>
      <c r="N595" s="19">
        <f t="shared" si="3"/>
        <v>1.6</v>
      </c>
      <c r="R595" s="14"/>
      <c r="S595" s="8"/>
      <c r="U595" s="14"/>
      <c r="V595" s="9"/>
    </row>
    <row r="596">
      <c r="A596" s="20" t="s">
        <v>1208</v>
      </c>
      <c r="B596" s="20" t="s">
        <v>1209</v>
      </c>
      <c r="C596" s="21">
        <v>45202.0</v>
      </c>
      <c r="D596" s="21">
        <v>45214.0</v>
      </c>
      <c r="E596" s="9" t="s">
        <v>14</v>
      </c>
      <c r="F596" s="8">
        <v>5.0</v>
      </c>
      <c r="G596" s="8">
        <v>90.0</v>
      </c>
      <c r="H596" s="9">
        <v>0.0</v>
      </c>
      <c r="I596" s="8">
        <v>45.0</v>
      </c>
      <c r="J596" s="9" t="s">
        <v>15</v>
      </c>
      <c r="K596" s="9" t="s">
        <v>26</v>
      </c>
      <c r="L596" s="9">
        <v>1.0</v>
      </c>
      <c r="M596" s="22" t="str">
        <f t="shared" si="2"/>
        <v>OK</v>
      </c>
      <c r="N596" s="19">
        <f t="shared" si="3"/>
        <v>5</v>
      </c>
      <c r="R596" s="14"/>
      <c r="S596" s="8"/>
      <c r="U596" s="14"/>
      <c r="V596" s="9"/>
    </row>
    <row r="597">
      <c r="A597" s="20" t="s">
        <v>1210</v>
      </c>
      <c r="B597" s="20" t="s">
        <v>1211</v>
      </c>
      <c r="C597" s="21">
        <v>45163.0</v>
      </c>
      <c r="D597" s="21">
        <v>45175.0</v>
      </c>
      <c r="E597" s="9" t="s">
        <v>29</v>
      </c>
      <c r="F597" s="8">
        <v>1.8</v>
      </c>
      <c r="G597" s="8">
        <v>22.0</v>
      </c>
      <c r="H597" s="9">
        <v>0.0</v>
      </c>
      <c r="I597" s="8">
        <v>52.0</v>
      </c>
      <c r="J597" s="9" t="s">
        <v>23</v>
      </c>
      <c r="K597" s="9" t="s">
        <v>16</v>
      </c>
      <c r="L597" s="9">
        <v>0.0</v>
      </c>
      <c r="M597" s="22" t="str">
        <f t="shared" si="2"/>
        <v>OK</v>
      </c>
      <c r="N597" s="19">
        <f t="shared" si="3"/>
        <v>1.8</v>
      </c>
      <c r="R597" s="14"/>
      <c r="S597" s="8"/>
      <c r="U597" s="14"/>
      <c r="V597" s="9"/>
    </row>
    <row r="598">
      <c r="A598" s="20" t="s">
        <v>1212</v>
      </c>
      <c r="B598" s="20" t="s">
        <v>1213</v>
      </c>
      <c r="C598" s="21">
        <v>45082.0</v>
      </c>
      <c r="D598" s="21">
        <v>45094.0</v>
      </c>
      <c r="E598" s="9" t="s">
        <v>38</v>
      </c>
      <c r="F598" s="8">
        <v>0.3</v>
      </c>
      <c r="G598" s="8">
        <v>11.0</v>
      </c>
      <c r="H598" s="9">
        <v>1.0</v>
      </c>
      <c r="I598" s="8">
        <v>34.0</v>
      </c>
      <c r="J598" s="9" t="s">
        <v>19</v>
      </c>
      <c r="K598" s="9" t="s">
        <v>47</v>
      </c>
      <c r="L598" s="9">
        <v>1.0</v>
      </c>
      <c r="M598" s="22" t="str">
        <f t="shared" si="2"/>
        <v>OK</v>
      </c>
      <c r="N598" s="19">
        <f t="shared" si="3"/>
        <v>0.3</v>
      </c>
      <c r="R598" s="14"/>
      <c r="S598" s="8"/>
      <c r="U598" s="14"/>
      <c r="V598" s="9"/>
    </row>
    <row r="599">
      <c r="A599" s="20" t="s">
        <v>1214</v>
      </c>
      <c r="B599" s="20" t="s">
        <v>1215</v>
      </c>
      <c r="C599" s="21">
        <v>45192.0</v>
      </c>
      <c r="D599" s="21">
        <v>45204.0</v>
      </c>
      <c r="E599" s="9" t="s">
        <v>29</v>
      </c>
      <c r="F599" s="8">
        <v>0.2</v>
      </c>
      <c r="G599" s="8">
        <v>49.0</v>
      </c>
      <c r="H599" s="9">
        <v>1.0</v>
      </c>
      <c r="I599" s="8">
        <v>33.0</v>
      </c>
      <c r="J599" s="9" t="s">
        <v>19</v>
      </c>
      <c r="K599" s="9" t="s">
        <v>47</v>
      </c>
      <c r="L599" s="9">
        <v>0.0</v>
      </c>
      <c r="M599" s="22" t="str">
        <f t="shared" si="2"/>
        <v>OK</v>
      </c>
      <c r="N599" s="19">
        <f t="shared" si="3"/>
        <v>0.2</v>
      </c>
      <c r="R599" s="14"/>
      <c r="S599" s="8"/>
      <c r="U599" s="14"/>
      <c r="V599" s="9"/>
    </row>
    <row r="600">
      <c r="A600" s="20" t="s">
        <v>1216</v>
      </c>
      <c r="B600" s="20" t="s">
        <v>1217</v>
      </c>
      <c r="C600" s="21">
        <v>45039.0</v>
      </c>
      <c r="D600" s="21">
        <v>45051.0</v>
      </c>
      <c r="E600" s="9" t="s">
        <v>22</v>
      </c>
      <c r="F600" s="8">
        <v>4.7</v>
      </c>
      <c r="G600" s="8">
        <v>88.0</v>
      </c>
      <c r="H600" s="9">
        <v>0.0</v>
      </c>
      <c r="I600" s="8">
        <v>29.0</v>
      </c>
      <c r="J600" s="9" t="s">
        <v>15</v>
      </c>
      <c r="K600" s="9" t="s">
        <v>16</v>
      </c>
      <c r="L600" s="9">
        <v>1.0</v>
      </c>
      <c r="M600" s="22" t="str">
        <f t="shared" si="2"/>
        <v>OK</v>
      </c>
      <c r="N600" s="19">
        <f t="shared" si="3"/>
        <v>4.7</v>
      </c>
      <c r="R600" s="14"/>
      <c r="S600" s="8"/>
      <c r="U600" s="14"/>
      <c r="V600" s="9"/>
    </row>
    <row r="601">
      <c r="A601" s="20" t="s">
        <v>1218</v>
      </c>
      <c r="B601" s="20" t="s">
        <v>1219</v>
      </c>
      <c r="C601" s="21">
        <v>45195.0</v>
      </c>
      <c r="D601" s="21">
        <v>45207.0</v>
      </c>
      <c r="E601" s="9" t="s">
        <v>38</v>
      </c>
      <c r="F601" s="8">
        <v>4.8</v>
      </c>
      <c r="G601" s="8">
        <v>21.0</v>
      </c>
      <c r="H601" s="9">
        <v>0.0</v>
      </c>
      <c r="I601" s="8">
        <v>32.0</v>
      </c>
      <c r="J601" s="9" t="s">
        <v>15</v>
      </c>
      <c r="K601" s="9" t="s">
        <v>26</v>
      </c>
      <c r="L601" s="9">
        <v>1.0</v>
      </c>
      <c r="M601" s="22" t="str">
        <f t="shared" si="2"/>
        <v>OK</v>
      </c>
      <c r="N601" s="19">
        <f t="shared" si="3"/>
        <v>4.8</v>
      </c>
      <c r="R601" s="14"/>
      <c r="S601" s="8"/>
      <c r="U601" s="14"/>
      <c r="V601" s="9"/>
    </row>
    <row r="602">
      <c r="A602" s="20" t="s">
        <v>1220</v>
      </c>
      <c r="B602" s="20" t="s">
        <v>1221</v>
      </c>
      <c r="C602" s="21">
        <v>45166.0</v>
      </c>
      <c r="D602" s="21">
        <v>45178.0</v>
      </c>
      <c r="E602" s="9" t="s">
        <v>22</v>
      </c>
      <c r="F602" s="8">
        <v>2.6</v>
      </c>
      <c r="G602" s="8">
        <v>41.0</v>
      </c>
      <c r="H602" s="9">
        <v>1.0</v>
      </c>
      <c r="I602" s="8">
        <v>41.0</v>
      </c>
      <c r="J602" s="9" t="s">
        <v>15</v>
      </c>
      <c r="K602" s="9" t="s">
        <v>47</v>
      </c>
      <c r="L602" s="9">
        <v>1.0</v>
      </c>
      <c r="M602" s="22" t="str">
        <f t="shared" si="2"/>
        <v>OK</v>
      </c>
      <c r="N602" s="19">
        <f t="shared" si="3"/>
        <v>2.6</v>
      </c>
      <c r="R602" s="14"/>
      <c r="S602" s="8"/>
      <c r="U602" s="14"/>
      <c r="V602" s="9"/>
    </row>
    <row r="603">
      <c r="A603" s="20" t="s">
        <v>1222</v>
      </c>
      <c r="B603" s="20" t="s">
        <v>1223</v>
      </c>
      <c r="C603" s="21">
        <v>45157.0</v>
      </c>
      <c r="D603" s="21">
        <v>45169.0</v>
      </c>
      <c r="E603" s="9" t="s">
        <v>14</v>
      </c>
      <c r="F603" s="8">
        <v>1.7</v>
      </c>
      <c r="G603" s="8"/>
      <c r="H603" s="9">
        <v>0.0</v>
      </c>
      <c r="I603" s="8">
        <v>48.0</v>
      </c>
      <c r="J603" s="9" t="s">
        <v>19</v>
      </c>
      <c r="K603" s="9" t="s">
        <v>26</v>
      </c>
      <c r="L603" s="9">
        <v>1.0</v>
      </c>
      <c r="M603" s="22" t="str">
        <f t="shared" si="2"/>
        <v>OK</v>
      </c>
      <c r="N603" s="19">
        <f t="shared" si="3"/>
        <v>1.7</v>
      </c>
      <c r="R603" s="14"/>
      <c r="S603" s="8"/>
      <c r="U603" s="14"/>
      <c r="V603" s="9"/>
    </row>
    <row r="604">
      <c r="A604" s="40" t="s">
        <v>1239</v>
      </c>
      <c r="B604" s="20"/>
      <c r="C604" s="9"/>
      <c r="D604" s="9"/>
      <c r="E604" s="9"/>
      <c r="F604" s="8"/>
      <c r="G604" s="8"/>
      <c r="H604" s="9"/>
      <c r="I604" s="8"/>
      <c r="J604" s="9"/>
      <c r="K604" s="9"/>
      <c r="L604" s="9"/>
      <c r="M604" s="22"/>
      <c r="N604" s="22"/>
      <c r="R604" s="14"/>
      <c r="S604" s="8"/>
      <c r="U604" s="14"/>
      <c r="V604" s="9"/>
    </row>
    <row r="605">
      <c r="A605" s="41">
        <f t="shared" ref="A605:N605" si="4">COUNTBLANK(A4:A603)</f>
        <v>0</v>
      </c>
      <c r="B605" s="41">
        <f t="shared" si="4"/>
        <v>0</v>
      </c>
      <c r="C605" s="41">
        <f t="shared" si="4"/>
        <v>0</v>
      </c>
      <c r="D605" s="41">
        <f t="shared" si="4"/>
        <v>0</v>
      </c>
      <c r="E605" s="41">
        <f t="shared" si="4"/>
        <v>0</v>
      </c>
      <c r="F605" s="41">
        <f t="shared" si="4"/>
        <v>0</v>
      </c>
      <c r="G605" s="42">
        <f t="shared" si="4"/>
        <v>1</v>
      </c>
      <c r="H605" s="41">
        <f t="shared" si="4"/>
        <v>0</v>
      </c>
      <c r="I605" s="41">
        <f t="shared" si="4"/>
        <v>0</v>
      </c>
      <c r="J605" s="41">
        <f t="shared" si="4"/>
        <v>0</v>
      </c>
      <c r="K605" s="41">
        <f t="shared" si="4"/>
        <v>0</v>
      </c>
      <c r="L605" s="41">
        <f t="shared" si="4"/>
        <v>0</v>
      </c>
      <c r="M605" s="41">
        <f t="shared" si="4"/>
        <v>0</v>
      </c>
      <c r="N605" s="41">
        <f t="shared" si="4"/>
        <v>0</v>
      </c>
      <c r="O605" s="43"/>
      <c r="P605" s="43"/>
      <c r="R605" s="14"/>
      <c r="S605" s="8"/>
      <c r="U605" s="14"/>
      <c r="V605" s="9"/>
    </row>
    <row r="606">
      <c r="R606" s="14"/>
      <c r="S606" s="8"/>
      <c r="U606" s="14"/>
      <c r="V606" s="9"/>
    </row>
    <row r="607">
      <c r="R607" s="14"/>
      <c r="S607" s="8"/>
      <c r="U607" s="14"/>
      <c r="V607" s="9"/>
    </row>
    <row r="608">
      <c r="R608" s="14"/>
      <c r="S608" s="8"/>
      <c r="U608" s="14"/>
      <c r="V608" s="9"/>
    </row>
    <row r="609">
      <c r="R609" s="14"/>
      <c r="S609" s="8"/>
      <c r="U609" s="14"/>
      <c r="V609" s="9"/>
    </row>
    <row r="610">
      <c r="R610" s="14"/>
      <c r="S610" s="8"/>
      <c r="U610" s="14"/>
      <c r="V610" s="9"/>
    </row>
    <row r="611">
      <c r="R611" s="14"/>
      <c r="S611" s="8"/>
      <c r="U611" s="14"/>
      <c r="V611" s="9"/>
    </row>
    <row r="612">
      <c r="R612" s="14"/>
      <c r="S612" s="8"/>
      <c r="U612" s="14"/>
      <c r="V612" s="9"/>
    </row>
    <row r="613">
      <c r="R613" s="14"/>
      <c r="S613" s="8"/>
      <c r="U613" s="14"/>
      <c r="V613" s="9"/>
    </row>
    <row r="614">
      <c r="R614" s="14"/>
      <c r="S614" s="8"/>
      <c r="U614" s="14"/>
      <c r="V614" s="9"/>
    </row>
    <row r="615">
      <c r="R615" s="14"/>
      <c r="S615" s="8"/>
      <c r="U615" s="14"/>
      <c r="V615" s="9"/>
    </row>
    <row r="616">
      <c r="R616" s="14"/>
      <c r="S616" s="8"/>
      <c r="U616" s="14"/>
      <c r="V616" s="9"/>
    </row>
    <row r="617">
      <c r="R617" s="14"/>
      <c r="S617" s="8"/>
      <c r="U617" s="14"/>
      <c r="V617" s="9"/>
    </row>
    <row r="618">
      <c r="R618" s="14"/>
      <c r="S618" s="8"/>
      <c r="U618" s="14"/>
      <c r="V618" s="9"/>
    </row>
    <row r="619">
      <c r="R619" s="14"/>
      <c r="S619" s="8"/>
      <c r="U619" s="14"/>
      <c r="V619" s="9"/>
    </row>
    <row r="620">
      <c r="R620" s="14"/>
      <c r="S620" s="8"/>
      <c r="U620" s="14"/>
      <c r="V620" s="9"/>
    </row>
    <row r="621">
      <c r="R621" s="14"/>
      <c r="S621" s="8"/>
      <c r="U621" s="14"/>
      <c r="V621" s="9"/>
    </row>
    <row r="622">
      <c r="R622" s="14"/>
      <c r="S622" s="8"/>
      <c r="U622" s="14"/>
      <c r="V622" s="9"/>
    </row>
    <row r="623">
      <c r="R623" s="14"/>
      <c r="S623" s="8"/>
      <c r="U623" s="14"/>
      <c r="V623" s="9"/>
    </row>
    <row r="624">
      <c r="R624" s="14"/>
      <c r="S624" s="8"/>
      <c r="U624" s="14"/>
      <c r="V624" s="9"/>
    </row>
    <row r="625">
      <c r="R625" s="14"/>
      <c r="S625" s="8"/>
      <c r="U625" s="14"/>
      <c r="V625" s="9"/>
    </row>
    <row r="626">
      <c r="R626" s="14"/>
      <c r="S626" s="8"/>
      <c r="U626" s="14"/>
      <c r="V626" s="9"/>
    </row>
    <row r="627">
      <c r="R627" s="14"/>
      <c r="S627" s="8"/>
      <c r="U627" s="14"/>
      <c r="V627" s="9"/>
    </row>
    <row r="628">
      <c r="R628" s="14"/>
      <c r="S628" s="8"/>
      <c r="U628" s="14"/>
      <c r="V628" s="9"/>
    </row>
    <row r="629">
      <c r="R629" s="14"/>
      <c r="S629" s="8"/>
      <c r="U629" s="14"/>
      <c r="V629" s="9"/>
    </row>
    <row r="630">
      <c r="R630" s="14"/>
      <c r="S630" s="8"/>
      <c r="U630" s="14"/>
      <c r="V630" s="9"/>
    </row>
    <row r="631">
      <c r="R631" s="14"/>
      <c r="S631" s="8"/>
      <c r="U631" s="14"/>
      <c r="V631" s="9"/>
    </row>
    <row r="632">
      <c r="R632" s="14"/>
      <c r="S632" s="8"/>
      <c r="U632" s="14"/>
      <c r="V632" s="9"/>
    </row>
    <row r="633">
      <c r="R633" s="14"/>
      <c r="S633" s="8"/>
      <c r="U633" s="14"/>
      <c r="V633" s="9"/>
    </row>
    <row r="634">
      <c r="R634" s="14"/>
      <c r="S634" s="8"/>
      <c r="U634" s="14"/>
      <c r="V634" s="9"/>
    </row>
    <row r="635">
      <c r="R635" s="14"/>
      <c r="S635" s="8"/>
      <c r="U635" s="14"/>
      <c r="V635" s="9"/>
    </row>
    <row r="636">
      <c r="R636" s="14"/>
      <c r="S636" s="8"/>
      <c r="U636" s="14"/>
      <c r="V636" s="9"/>
    </row>
    <row r="637">
      <c r="R637" s="14"/>
      <c r="S637" s="8"/>
      <c r="U637" s="14"/>
      <c r="V637" s="9"/>
    </row>
    <row r="638">
      <c r="R638" s="14"/>
      <c r="S638" s="8"/>
      <c r="U638" s="14"/>
      <c r="V638" s="9"/>
    </row>
    <row r="639">
      <c r="R639" s="14"/>
      <c r="S639" s="8"/>
      <c r="U639" s="14"/>
      <c r="V639" s="9"/>
    </row>
    <row r="640">
      <c r="R640" s="14"/>
      <c r="S640" s="8"/>
      <c r="U640" s="14"/>
      <c r="V640" s="9"/>
    </row>
    <row r="641">
      <c r="R641" s="14"/>
      <c r="S641" s="8"/>
      <c r="U641" s="14"/>
      <c r="V641" s="9"/>
    </row>
    <row r="642">
      <c r="R642" s="14"/>
      <c r="S642" s="8"/>
      <c r="U642" s="14"/>
      <c r="V642" s="9"/>
    </row>
    <row r="643">
      <c r="R643" s="14"/>
      <c r="S643" s="8"/>
      <c r="U643" s="14"/>
      <c r="V643" s="9"/>
    </row>
    <row r="644">
      <c r="R644" s="14"/>
      <c r="S644" s="8"/>
      <c r="U644" s="14"/>
      <c r="V644" s="9"/>
    </row>
    <row r="645">
      <c r="R645" s="14"/>
      <c r="S645" s="8"/>
      <c r="U645" s="14"/>
      <c r="V645" s="9"/>
    </row>
    <row r="646">
      <c r="R646" s="14"/>
      <c r="S646" s="8"/>
      <c r="U646" s="14"/>
      <c r="V646" s="9"/>
    </row>
    <row r="647">
      <c r="R647" s="14"/>
      <c r="S647" s="8"/>
      <c r="U647" s="14"/>
      <c r="V647" s="9"/>
    </row>
    <row r="648">
      <c r="R648" s="14"/>
      <c r="S648" s="8"/>
      <c r="U648" s="14"/>
      <c r="V648" s="9"/>
    </row>
    <row r="649">
      <c r="R649" s="14"/>
      <c r="S649" s="8"/>
      <c r="U649" s="14"/>
      <c r="V649" s="9"/>
    </row>
    <row r="650">
      <c r="R650" s="14"/>
      <c r="S650" s="8"/>
      <c r="U650" s="14"/>
      <c r="V650" s="9"/>
    </row>
    <row r="651">
      <c r="R651" s="14"/>
      <c r="S651" s="8"/>
      <c r="U651" s="14"/>
      <c r="V651" s="9"/>
    </row>
    <row r="652">
      <c r="R652" s="14"/>
      <c r="S652" s="8"/>
      <c r="U652" s="14"/>
      <c r="V652" s="9"/>
    </row>
    <row r="653">
      <c r="R653" s="14"/>
      <c r="S653" s="8"/>
      <c r="U653" s="14"/>
      <c r="V653" s="9"/>
    </row>
    <row r="654">
      <c r="R654" s="14"/>
      <c r="S654" s="8"/>
      <c r="U654" s="14"/>
      <c r="V654" s="9"/>
    </row>
    <row r="655">
      <c r="R655" s="14"/>
      <c r="S655" s="8"/>
      <c r="U655" s="14"/>
      <c r="V655" s="9"/>
    </row>
    <row r="656">
      <c r="R656" s="14"/>
      <c r="S656" s="8"/>
      <c r="U656" s="14"/>
      <c r="V656" s="9"/>
    </row>
    <row r="657">
      <c r="R657" s="14"/>
      <c r="S657" s="8"/>
      <c r="U657" s="14"/>
      <c r="V657" s="9"/>
    </row>
    <row r="658">
      <c r="R658" s="14"/>
      <c r="S658" s="8"/>
      <c r="U658" s="14"/>
      <c r="V658" s="9"/>
    </row>
    <row r="659">
      <c r="R659" s="14"/>
      <c r="S659" s="8"/>
      <c r="U659" s="14"/>
      <c r="V659" s="9"/>
    </row>
    <row r="660">
      <c r="R660" s="14"/>
      <c r="S660" s="8"/>
      <c r="U660" s="14"/>
      <c r="V660" s="9"/>
    </row>
    <row r="661">
      <c r="R661" s="14"/>
      <c r="S661" s="8"/>
      <c r="U661" s="14"/>
      <c r="V661" s="9"/>
    </row>
    <row r="662">
      <c r="R662" s="14"/>
      <c r="S662" s="8"/>
      <c r="U662" s="14"/>
      <c r="V662" s="9"/>
    </row>
    <row r="663">
      <c r="R663" s="14"/>
      <c r="S663" s="8"/>
      <c r="U663" s="14"/>
      <c r="V663" s="9"/>
    </row>
    <row r="664">
      <c r="R664" s="14"/>
      <c r="S664" s="8"/>
      <c r="U664" s="14"/>
      <c r="V664" s="9"/>
    </row>
    <row r="665">
      <c r="R665" s="14"/>
      <c r="S665" s="8"/>
      <c r="U665" s="14"/>
      <c r="V665" s="9"/>
    </row>
    <row r="666">
      <c r="R666" s="14"/>
      <c r="S666" s="8"/>
      <c r="U666" s="14"/>
      <c r="V666" s="9"/>
    </row>
    <row r="667">
      <c r="R667" s="14"/>
      <c r="S667" s="8"/>
      <c r="U667" s="14"/>
      <c r="V667" s="9"/>
    </row>
    <row r="668">
      <c r="R668" s="14"/>
      <c r="S668" s="8"/>
      <c r="U668" s="14"/>
      <c r="V668" s="9"/>
    </row>
    <row r="669">
      <c r="R669" s="14"/>
      <c r="S669" s="8"/>
      <c r="U669" s="14"/>
      <c r="V669" s="9"/>
    </row>
    <row r="670">
      <c r="R670" s="14"/>
      <c r="S670" s="8"/>
      <c r="U670" s="14"/>
      <c r="V670" s="9"/>
    </row>
    <row r="671">
      <c r="R671" s="14"/>
      <c r="S671" s="8"/>
      <c r="U671" s="14"/>
      <c r="V671" s="9"/>
    </row>
    <row r="672">
      <c r="R672" s="14"/>
      <c r="S672" s="8"/>
      <c r="U672" s="14"/>
      <c r="V672" s="9"/>
    </row>
    <row r="673">
      <c r="R673" s="14"/>
      <c r="S673" s="8"/>
      <c r="U673" s="14"/>
      <c r="V673" s="9"/>
    </row>
    <row r="674">
      <c r="R674" s="14"/>
      <c r="S674" s="8"/>
      <c r="U674" s="14"/>
      <c r="V674" s="9"/>
    </row>
    <row r="675">
      <c r="R675" s="14"/>
      <c r="S675" s="8"/>
      <c r="U675" s="14"/>
      <c r="V675" s="9"/>
    </row>
    <row r="676">
      <c r="R676" s="14"/>
      <c r="S676" s="8"/>
      <c r="U676" s="14"/>
      <c r="V676" s="9"/>
    </row>
    <row r="677">
      <c r="R677" s="14"/>
      <c r="S677" s="8"/>
      <c r="U677" s="14"/>
      <c r="V677" s="9"/>
    </row>
    <row r="678">
      <c r="R678" s="14"/>
      <c r="S678" s="8"/>
      <c r="U678" s="14"/>
      <c r="V678" s="9"/>
    </row>
    <row r="679">
      <c r="R679" s="14"/>
      <c r="S679" s="8"/>
      <c r="U679" s="14"/>
      <c r="V679" s="9"/>
    </row>
    <row r="680">
      <c r="R680" s="14"/>
      <c r="S680" s="8"/>
      <c r="U680" s="14"/>
      <c r="V680" s="9"/>
    </row>
    <row r="681">
      <c r="R681" s="14"/>
      <c r="S681" s="8"/>
      <c r="U681" s="14"/>
      <c r="V681" s="9"/>
    </row>
    <row r="682">
      <c r="R682" s="14"/>
      <c r="S682" s="8"/>
      <c r="U682" s="14"/>
      <c r="V682" s="9"/>
    </row>
    <row r="683">
      <c r="R683" s="14"/>
      <c r="S683" s="8"/>
      <c r="U683" s="14"/>
      <c r="V683" s="9"/>
    </row>
    <row r="684">
      <c r="R684" s="14"/>
      <c r="S684" s="8"/>
      <c r="U684" s="14"/>
      <c r="V684" s="9"/>
    </row>
    <row r="685">
      <c r="R685" s="14"/>
      <c r="S685" s="8"/>
      <c r="U685" s="14"/>
      <c r="V685" s="9"/>
    </row>
    <row r="686">
      <c r="R686" s="14"/>
      <c r="S686" s="8"/>
      <c r="U686" s="14"/>
      <c r="V686" s="9"/>
    </row>
    <row r="687">
      <c r="R687" s="14"/>
      <c r="S687" s="8"/>
      <c r="U687" s="14"/>
      <c r="V687" s="9"/>
    </row>
    <row r="688">
      <c r="R688" s="14"/>
      <c r="S688" s="8"/>
      <c r="U688" s="14"/>
      <c r="V688" s="9"/>
    </row>
    <row r="689">
      <c r="R689" s="14"/>
      <c r="S689" s="8"/>
      <c r="U689" s="14"/>
      <c r="V689" s="9"/>
    </row>
    <row r="690">
      <c r="R690" s="14"/>
      <c r="S690" s="8"/>
      <c r="U690" s="14"/>
      <c r="V690" s="9"/>
    </row>
    <row r="691">
      <c r="R691" s="14"/>
      <c r="S691" s="8"/>
      <c r="U691" s="14"/>
      <c r="V691" s="9"/>
    </row>
    <row r="692">
      <c r="R692" s="14"/>
      <c r="S692" s="8"/>
      <c r="U692" s="14"/>
      <c r="V692" s="9"/>
    </row>
    <row r="693">
      <c r="R693" s="14"/>
      <c r="S693" s="8"/>
      <c r="U693" s="14"/>
      <c r="V693" s="9"/>
    </row>
    <row r="694">
      <c r="R694" s="14"/>
      <c r="S694" s="8"/>
      <c r="U694" s="14"/>
      <c r="V694" s="9"/>
    </row>
    <row r="695">
      <c r="R695" s="14"/>
      <c r="S695" s="8"/>
      <c r="U695" s="14"/>
      <c r="V695" s="9"/>
    </row>
    <row r="696">
      <c r="R696" s="14"/>
      <c r="S696" s="8"/>
      <c r="U696" s="14"/>
      <c r="V696" s="9"/>
    </row>
    <row r="697">
      <c r="R697" s="14"/>
      <c r="S697" s="8"/>
      <c r="U697" s="14"/>
      <c r="V697" s="9"/>
    </row>
    <row r="698">
      <c r="R698" s="14"/>
      <c r="S698" s="8"/>
      <c r="U698" s="14"/>
      <c r="V698" s="9"/>
    </row>
    <row r="699">
      <c r="R699" s="14"/>
      <c r="S699" s="8"/>
      <c r="U699" s="14"/>
      <c r="V699" s="9"/>
    </row>
    <row r="700">
      <c r="R700" s="14"/>
      <c r="S700" s="8"/>
      <c r="U700" s="14"/>
      <c r="V700" s="9"/>
    </row>
    <row r="701">
      <c r="R701" s="14"/>
      <c r="S701" s="8"/>
      <c r="U701" s="14"/>
      <c r="V701" s="9"/>
    </row>
    <row r="702">
      <c r="R702" s="14"/>
      <c r="S702" s="8"/>
      <c r="U702" s="14"/>
      <c r="V702" s="9"/>
    </row>
    <row r="703">
      <c r="R703" s="14"/>
      <c r="S703" s="8"/>
      <c r="U703" s="14"/>
      <c r="V703" s="9"/>
    </row>
    <row r="704">
      <c r="R704" s="14"/>
      <c r="S704" s="8"/>
      <c r="U704" s="14"/>
      <c r="V704" s="9"/>
    </row>
    <row r="705">
      <c r="R705" s="14"/>
      <c r="S705" s="8"/>
      <c r="U705" s="14"/>
      <c r="V705" s="9"/>
    </row>
    <row r="706">
      <c r="R706" s="14"/>
      <c r="S706" s="8"/>
      <c r="U706" s="14"/>
      <c r="V706" s="9"/>
    </row>
    <row r="707">
      <c r="R707" s="14"/>
      <c r="S707" s="8"/>
      <c r="U707" s="14"/>
      <c r="V707" s="9"/>
    </row>
    <row r="708">
      <c r="R708" s="14"/>
      <c r="S708" s="8"/>
      <c r="U708" s="14"/>
      <c r="V708" s="9"/>
    </row>
    <row r="709">
      <c r="R709" s="14"/>
      <c r="S709" s="8"/>
      <c r="U709" s="14"/>
      <c r="V709" s="9"/>
    </row>
    <row r="710">
      <c r="R710" s="14"/>
      <c r="S710" s="8"/>
      <c r="U710" s="14"/>
      <c r="V710" s="9"/>
    </row>
    <row r="711">
      <c r="R711" s="14"/>
      <c r="S711" s="8"/>
      <c r="U711" s="14"/>
      <c r="V711" s="9"/>
    </row>
    <row r="712">
      <c r="R712" s="14"/>
      <c r="S712" s="8"/>
      <c r="U712" s="14"/>
      <c r="V712" s="9"/>
    </row>
    <row r="713">
      <c r="R713" s="14"/>
      <c r="S713" s="8"/>
      <c r="U713" s="14"/>
      <c r="V713" s="9"/>
    </row>
    <row r="714">
      <c r="R714" s="14"/>
      <c r="S714" s="8"/>
      <c r="U714" s="14"/>
      <c r="V714" s="9"/>
    </row>
    <row r="715">
      <c r="R715" s="14"/>
      <c r="S715" s="8"/>
      <c r="U715" s="14"/>
      <c r="V715" s="9"/>
    </row>
    <row r="716">
      <c r="R716" s="14"/>
      <c r="S716" s="8"/>
      <c r="U716" s="14"/>
      <c r="V716" s="9"/>
    </row>
    <row r="717">
      <c r="R717" s="14"/>
      <c r="S717" s="8"/>
      <c r="U717" s="14"/>
      <c r="V717" s="9"/>
    </row>
    <row r="718">
      <c r="R718" s="14"/>
      <c r="S718" s="8"/>
      <c r="U718" s="14"/>
      <c r="V718" s="9"/>
    </row>
    <row r="719">
      <c r="R719" s="14"/>
      <c r="S719" s="8"/>
      <c r="U719" s="14"/>
      <c r="V719" s="9"/>
    </row>
    <row r="720">
      <c r="R720" s="14"/>
      <c r="S720" s="8"/>
      <c r="U720" s="14"/>
      <c r="V720" s="9"/>
    </row>
    <row r="721">
      <c r="R721" s="14"/>
      <c r="S721" s="8"/>
      <c r="U721" s="14"/>
      <c r="V721" s="9"/>
    </row>
    <row r="722">
      <c r="R722" s="14"/>
      <c r="S722" s="8"/>
      <c r="U722" s="14"/>
      <c r="V722" s="9"/>
    </row>
    <row r="723">
      <c r="R723" s="14"/>
      <c r="S723" s="8"/>
      <c r="U723" s="14"/>
      <c r="V723" s="9"/>
    </row>
    <row r="724">
      <c r="R724" s="14"/>
      <c r="S724" s="8"/>
      <c r="U724" s="14"/>
      <c r="V724" s="9"/>
    </row>
    <row r="725">
      <c r="R725" s="14"/>
      <c r="S725" s="8"/>
      <c r="U725" s="14"/>
      <c r="V725" s="9"/>
    </row>
    <row r="726">
      <c r="R726" s="14"/>
      <c r="S726" s="8"/>
      <c r="U726" s="14"/>
      <c r="V726" s="9"/>
    </row>
    <row r="727">
      <c r="R727" s="14"/>
      <c r="S727" s="8"/>
      <c r="U727" s="14"/>
      <c r="V727" s="9"/>
    </row>
    <row r="728">
      <c r="R728" s="14"/>
      <c r="S728" s="8"/>
      <c r="U728" s="14"/>
      <c r="V728" s="9"/>
    </row>
    <row r="729">
      <c r="R729" s="14"/>
      <c r="S729" s="8"/>
      <c r="U729" s="14"/>
      <c r="V729" s="9"/>
    </row>
    <row r="730">
      <c r="R730" s="14"/>
      <c r="S730" s="8"/>
      <c r="U730" s="14"/>
      <c r="V730" s="9"/>
    </row>
    <row r="731">
      <c r="R731" s="14"/>
      <c r="S731" s="8"/>
      <c r="U731" s="14"/>
      <c r="V731" s="9"/>
    </row>
    <row r="732">
      <c r="R732" s="14"/>
      <c r="S732" s="8"/>
      <c r="U732" s="14"/>
      <c r="V732" s="9"/>
    </row>
    <row r="733">
      <c r="R733" s="14"/>
      <c r="S733" s="8"/>
      <c r="U733" s="14"/>
      <c r="V733" s="9"/>
    </row>
    <row r="734">
      <c r="R734" s="14"/>
      <c r="S734" s="8"/>
      <c r="U734" s="14"/>
      <c r="V734" s="9"/>
    </row>
    <row r="735">
      <c r="R735" s="14"/>
      <c r="S735" s="8"/>
      <c r="U735" s="14"/>
      <c r="V735" s="9"/>
    </row>
    <row r="736">
      <c r="R736" s="14"/>
      <c r="S736" s="8"/>
      <c r="U736" s="14"/>
      <c r="V736" s="9"/>
    </row>
    <row r="737">
      <c r="R737" s="14"/>
      <c r="S737" s="8"/>
      <c r="U737" s="14"/>
      <c r="V737" s="9"/>
    </row>
    <row r="738">
      <c r="R738" s="14"/>
      <c r="S738" s="8"/>
      <c r="U738" s="14"/>
      <c r="V738" s="9"/>
    </row>
    <row r="739">
      <c r="R739" s="14"/>
      <c r="S739" s="8"/>
      <c r="U739" s="14"/>
      <c r="V739" s="9"/>
    </row>
    <row r="740">
      <c r="R740" s="14"/>
      <c r="S740" s="8"/>
      <c r="U740" s="14"/>
      <c r="V740" s="9"/>
    </row>
    <row r="741">
      <c r="R741" s="14"/>
      <c r="S741" s="8"/>
      <c r="U741" s="14"/>
      <c r="V741" s="9"/>
    </row>
    <row r="742">
      <c r="R742" s="14"/>
      <c r="S742" s="8"/>
      <c r="U742" s="14"/>
      <c r="V742" s="9"/>
    </row>
    <row r="743">
      <c r="R743" s="14"/>
      <c r="S743" s="8"/>
      <c r="U743" s="14"/>
      <c r="V743" s="9"/>
    </row>
    <row r="744">
      <c r="R744" s="14"/>
      <c r="S744" s="8"/>
      <c r="U744" s="14"/>
      <c r="V744" s="9"/>
    </row>
    <row r="745">
      <c r="R745" s="14"/>
      <c r="S745" s="8"/>
      <c r="U745" s="14"/>
      <c r="V745" s="9"/>
    </row>
    <row r="746">
      <c r="R746" s="14"/>
      <c r="S746" s="8"/>
      <c r="U746" s="14"/>
      <c r="V746" s="9"/>
    </row>
    <row r="747">
      <c r="R747" s="14"/>
      <c r="S747" s="8"/>
      <c r="U747" s="14"/>
      <c r="V747" s="9"/>
    </row>
    <row r="748">
      <c r="R748" s="14"/>
      <c r="S748" s="8"/>
      <c r="U748" s="14"/>
      <c r="V748" s="9"/>
    </row>
    <row r="749">
      <c r="R749" s="14"/>
      <c r="S749" s="8"/>
      <c r="U749" s="14"/>
      <c r="V749" s="9"/>
    </row>
    <row r="750">
      <c r="R750" s="14"/>
      <c r="S750" s="8"/>
      <c r="U750" s="14"/>
      <c r="V750" s="9"/>
    </row>
    <row r="751">
      <c r="R751" s="14"/>
      <c r="S751" s="8"/>
      <c r="U751" s="14"/>
      <c r="V751" s="9"/>
    </row>
    <row r="752">
      <c r="R752" s="14"/>
      <c r="S752" s="8"/>
      <c r="U752" s="14"/>
      <c r="V752" s="9"/>
    </row>
    <row r="753">
      <c r="R753" s="14"/>
      <c r="S753" s="8"/>
      <c r="U753" s="14"/>
      <c r="V753" s="9"/>
    </row>
    <row r="754">
      <c r="R754" s="14"/>
      <c r="S754" s="8"/>
      <c r="U754" s="14"/>
      <c r="V754" s="9"/>
    </row>
    <row r="755">
      <c r="R755" s="14"/>
      <c r="S755" s="8"/>
      <c r="U755" s="14"/>
      <c r="V755" s="9"/>
    </row>
    <row r="756">
      <c r="R756" s="14"/>
      <c r="S756" s="8"/>
      <c r="U756" s="14"/>
      <c r="V756" s="9"/>
    </row>
    <row r="757">
      <c r="R757" s="14"/>
      <c r="S757" s="8"/>
      <c r="U757" s="14"/>
      <c r="V757" s="9"/>
    </row>
    <row r="758">
      <c r="R758" s="14"/>
      <c r="S758" s="8"/>
      <c r="U758" s="14"/>
      <c r="V758" s="9"/>
    </row>
    <row r="759">
      <c r="R759" s="14"/>
      <c r="S759" s="8"/>
      <c r="U759" s="14"/>
      <c r="V759" s="9"/>
    </row>
    <row r="760">
      <c r="R760" s="14"/>
      <c r="S760" s="8"/>
      <c r="U760" s="14"/>
      <c r="V760" s="9"/>
    </row>
    <row r="761">
      <c r="R761" s="14"/>
      <c r="S761" s="8"/>
      <c r="U761" s="14"/>
      <c r="V761" s="9"/>
    </row>
    <row r="762">
      <c r="R762" s="14"/>
      <c r="S762" s="8"/>
      <c r="U762" s="14"/>
      <c r="V762" s="9"/>
    </row>
    <row r="763">
      <c r="R763" s="14"/>
      <c r="S763" s="8"/>
      <c r="U763" s="14"/>
      <c r="V763" s="9"/>
    </row>
    <row r="764">
      <c r="R764" s="14"/>
      <c r="S764" s="8"/>
      <c r="U764" s="14"/>
      <c r="V764" s="9"/>
    </row>
    <row r="765">
      <c r="R765" s="14"/>
      <c r="S765" s="8"/>
      <c r="U765" s="14"/>
      <c r="V765" s="9"/>
    </row>
    <row r="766">
      <c r="R766" s="14"/>
      <c r="S766" s="8"/>
      <c r="U766" s="14"/>
      <c r="V766" s="9"/>
    </row>
    <row r="767">
      <c r="R767" s="14"/>
      <c r="S767" s="8"/>
      <c r="U767" s="14"/>
      <c r="V767" s="9"/>
    </row>
    <row r="768">
      <c r="R768" s="14"/>
      <c r="S768" s="8"/>
      <c r="U768" s="14"/>
      <c r="V768" s="9"/>
    </row>
    <row r="769">
      <c r="R769" s="14"/>
      <c r="S769" s="8"/>
      <c r="U769" s="14"/>
      <c r="V769" s="9"/>
    </row>
    <row r="770">
      <c r="R770" s="14"/>
      <c r="S770" s="8"/>
      <c r="U770" s="14"/>
      <c r="V770" s="9"/>
    </row>
    <row r="771">
      <c r="R771" s="14"/>
      <c r="S771" s="8"/>
      <c r="U771" s="14"/>
      <c r="V771" s="9"/>
    </row>
    <row r="772">
      <c r="R772" s="14"/>
      <c r="S772" s="8"/>
      <c r="U772" s="14"/>
      <c r="V772" s="9"/>
    </row>
    <row r="773">
      <c r="R773" s="14"/>
      <c r="S773" s="8"/>
      <c r="U773" s="14"/>
      <c r="V773" s="9"/>
    </row>
    <row r="774">
      <c r="R774" s="14"/>
      <c r="S774" s="8"/>
      <c r="U774" s="14"/>
      <c r="V774" s="9"/>
    </row>
    <row r="775">
      <c r="R775" s="14"/>
      <c r="S775" s="8"/>
      <c r="U775" s="14"/>
      <c r="V775" s="9"/>
    </row>
    <row r="776">
      <c r="R776" s="14"/>
      <c r="S776" s="8"/>
      <c r="U776" s="14"/>
      <c r="V776" s="9"/>
    </row>
    <row r="777">
      <c r="R777" s="14"/>
      <c r="S777" s="8"/>
      <c r="U777" s="14"/>
      <c r="V777" s="9"/>
    </row>
    <row r="778">
      <c r="R778" s="14"/>
      <c r="S778" s="8"/>
      <c r="U778" s="14"/>
      <c r="V778" s="9"/>
    </row>
    <row r="779">
      <c r="R779" s="14"/>
      <c r="S779" s="8"/>
      <c r="U779" s="14"/>
      <c r="V779" s="9"/>
    </row>
    <row r="780">
      <c r="R780" s="14"/>
      <c r="S780" s="8"/>
      <c r="U780" s="14"/>
      <c r="V780" s="9"/>
    </row>
    <row r="781">
      <c r="R781" s="14"/>
      <c r="S781" s="8"/>
      <c r="U781" s="14"/>
      <c r="V781" s="9"/>
    </row>
    <row r="782">
      <c r="R782" s="14"/>
      <c r="S782" s="8"/>
      <c r="U782" s="14"/>
      <c r="V782" s="9"/>
    </row>
    <row r="783">
      <c r="R783" s="14"/>
      <c r="S783" s="8"/>
      <c r="U783" s="14"/>
      <c r="V783" s="9"/>
    </row>
    <row r="784">
      <c r="R784" s="14"/>
      <c r="S784" s="8"/>
      <c r="U784" s="14"/>
      <c r="V784" s="9"/>
    </row>
    <row r="785">
      <c r="R785" s="14"/>
      <c r="S785" s="8"/>
      <c r="U785" s="14"/>
      <c r="V785" s="9"/>
    </row>
    <row r="786">
      <c r="R786" s="14"/>
      <c r="S786" s="8"/>
      <c r="U786" s="14"/>
      <c r="V786" s="9"/>
    </row>
    <row r="787">
      <c r="R787" s="14"/>
      <c r="S787" s="8"/>
      <c r="U787" s="14"/>
      <c r="V787" s="9"/>
    </row>
    <row r="788">
      <c r="R788" s="14"/>
      <c r="S788" s="8"/>
      <c r="U788" s="14"/>
      <c r="V788" s="9"/>
    </row>
    <row r="789">
      <c r="R789" s="14"/>
      <c r="S789" s="8"/>
      <c r="U789" s="14"/>
      <c r="V789" s="9"/>
    </row>
    <row r="790">
      <c r="R790" s="14"/>
      <c r="S790" s="8"/>
      <c r="U790" s="14"/>
      <c r="V790" s="9"/>
    </row>
    <row r="791">
      <c r="R791" s="14"/>
      <c r="S791" s="8"/>
      <c r="U791" s="14"/>
      <c r="V791" s="9"/>
    </row>
    <row r="792">
      <c r="R792" s="14"/>
      <c r="S792" s="8"/>
      <c r="U792" s="14"/>
      <c r="V792" s="9"/>
    </row>
    <row r="793">
      <c r="R793" s="14"/>
      <c r="S793" s="8"/>
      <c r="U793" s="14"/>
      <c r="V793" s="9"/>
    </row>
    <row r="794">
      <c r="R794" s="14"/>
      <c r="S794" s="8"/>
      <c r="U794" s="14"/>
      <c r="V794" s="9"/>
    </row>
    <row r="795">
      <c r="R795" s="14"/>
      <c r="S795" s="8"/>
      <c r="U795" s="14"/>
      <c r="V795" s="9"/>
    </row>
    <row r="796">
      <c r="R796" s="14"/>
      <c r="S796" s="8"/>
      <c r="U796" s="14"/>
      <c r="V796" s="9"/>
    </row>
    <row r="797">
      <c r="R797" s="14"/>
      <c r="S797" s="8"/>
      <c r="U797" s="14"/>
      <c r="V797" s="9"/>
    </row>
    <row r="798">
      <c r="R798" s="14"/>
      <c r="S798" s="8"/>
      <c r="U798" s="14"/>
      <c r="V798" s="9"/>
    </row>
    <row r="799">
      <c r="R799" s="14"/>
      <c r="S799" s="8"/>
      <c r="U799" s="14"/>
      <c r="V799" s="9"/>
    </row>
    <row r="800">
      <c r="R800" s="14"/>
      <c r="S800" s="8"/>
      <c r="U800" s="14"/>
      <c r="V800" s="9"/>
    </row>
    <row r="801">
      <c r="R801" s="14"/>
      <c r="S801" s="8"/>
      <c r="U801" s="14"/>
      <c r="V801" s="9"/>
    </row>
    <row r="802">
      <c r="R802" s="14"/>
      <c r="S802" s="8"/>
      <c r="U802" s="14"/>
      <c r="V802" s="9"/>
    </row>
    <row r="803">
      <c r="R803" s="14"/>
      <c r="S803" s="8"/>
      <c r="U803" s="14"/>
      <c r="V803" s="9"/>
    </row>
    <row r="804">
      <c r="R804" s="14"/>
      <c r="S804" s="8"/>
      <c r="U804" s="14"/>
      <c r="V804" s="9"/>
    </row>
    <row r="805">
      <c r="R805" s="14"/>
      <c r="S805" s="8"/>
      <c r="U805" s="14"/>
      <c r="V805" s="9"/>
    </row>
    <row r="806">
      <c r="R806" s="14"/>
      <c r="S806" s="8"/>
      <c r="U806" s="14"/>
      <c r="V806" s="9"/>
    </row>
    <row r="807">
      <c r="R807" s="14"/>
      <c r="S807" s="8"/>
      <c r="U807" s="14"/>
      <c r="V807" s="9"/>
    </row>
    <row r="808">
      <c r="R808" s="14"/>
      <c r="S808" s="8"/>
      <c r="U808" s="14"/>
      <c r="V808" s="9"/>
    </row>
    <row r="809">
      <c r="R809" s="14"/>
      <c r="S809" s="8"/>
      <c r="U809" s="14"/>
      <c r="V809" s="9"/>
    </row>
    <row r="810">
      <c r="R810" s="14"/>
      <c r="S810" s="8"/>
      <c r="U810" s="14"/>
      <c r="V810" s="9"/>
    </row>
    <row r="811">
      <c r="R811" s="14"/>
      <c r="S811" s="8"/>
      <c r="U811" s="14"/>
      <c r="V811" s="9"/>
    </row>
    <row r="812">
      <c r="R812" s="14"/>
      <c r="S812" s="8"/>
      <c r="U812" s="14"/>
      <c r="V812" s="9"/>
    </row>
    <row r="813">
      <c r="R813" s="14"/>
      <c r="S813" s="8"/>
      <c r="U813" s="14"/>
      <c r="V813" s="9"/>
    </row>
    <row r="814">
      <c r="R814" s="14"/>
      <c r="S814" s="8"/>
      <c r="U814" s="14"/>
      <c r="V814" s="9"/>
    </row>
    <row r="815">
      <c r="R815" s="14"/>
      <c r="S815" s="8"/>
      <c r="U815" s="14"/>
      <c r="V815" s="9"/>
    </row>
    <row r="816">
      <c r="R816" s="14"/>
      <c r="S816" s="8"/>
      <c r="U816" s="14"/>
      <c r="V816" s="9"/>
    </row>
    <row r="817">
      <c r="R817" s="14"/>
      <c r="S817" s="8"/>
      <c r="U817" s="14"/>
      <c r="V817" s="9"/>
    </row>
    <row r="818">
      <c r="R818" s="14"/>
      <c r="S818" s="8"/>
      <c r="U818" s="14"/>
      <c r="V818" s="9"/>
    </row>
    <row r="819">
      <c r="R819" s="14"/>
      <c r="S819" s="8"/>
      <c r="U819" s="14"/>
      <c r="V819" s="9"/>
    </row>
    <row r="820">
      <c r="R820" s="14"/>
      <c r="S820" s="8"/>
      <c r="U820" s="14"/>
      <c r="V820" s="9"/>
    </row>
    <row r="821">
      <c r="R821" s="14"/>
      <c r="S821" s="8"/>
      <c r="U821" s="14"/>
      <c r="V821" s="9"/>
    </row>
    <row r="822">
      <c r="R822" s="14"/>
      <c r="S822" s="8"/>
      <c r="U822" s="14"/>
      <c r="V822" s="9"/>
    </row>
    <row r="823">
      <c r="R823" s="14"/>
      <c r="S823" s="8"/>
      <c r="U823" s="14"/>
      <c r="V823" s="9"/>
    </row>
    <row r="824">
      <c r="R824" s="14"/>
      <c r="S824" s="8"/>
      <c r="U824" s="14"/>
      <c r="V824" s="9"/>
    </row>
    <row r="825">
      <c r="R825" s="14"/>
      <c r="S825" s="8"/>
      <c r="U825" s="14"/>
      <c r="V825" s="9"/>
    </row>
    <row r="826">
      <c r="R826" s="14"/>
      <c r="S826" s="8"/>
      <c r="U826" s="14"/>
      <c r="V826" s="9"/>
    </row>
    <row r="827">
      <c r="R827" s="14"/>
      <c r="S827" s="8"/>
      <c r="U827" s="14"/>
      <c r="V827" s="9"/>
    </row>
    <row r="828">
      <c r="R828" s="14"/>
      <c r="S828" s="8"/>
      <c r="U828" s="14"/>
      <c r="V828" s="9"/>
    </row>
    <row r="829">
      <c r="R829" s="14"/>
      <c r="S829" s="8"/>
      <c r="U829" s="14"/>
      <c r="V829" s="9"/>
    </row>
    <row r="830">
      <c r="R830" s="14"/>
      <c r="S830" s="8"/>
      <c r="U830" s="14"/>
      <c r="V830" s="9"/>
    </row>
    <row r="831">
      <c r="R831" s="14"/>
      <c r="S831" s="8"/>
      <c r="U831" s="14"/>
      <c r="V831" s="9"/>
    </row>
    <row r="832">
      <c r="R832" s="14"/>
      <c r="S832" s="8"/>
      <c r="U832" s="14"/>
      <c r="V832" s="9"/>
    </row>
    <row r="833">
      <c r="R833" s="14"/>
      <c r="S833" s="8"/>
      <c r="U833" s="14"/>
      <c r="V833" s="9"/>
    </row>
    <row r="834">
      <c r="R834" s="14"/>
      <c r="S834" s="8"/>
      <c r="U834" s="14"/>
      <c r="V834" s="9"/>
    </row>
    <row r="835">
      <c r="R835" s="14"/>
      <c r="S835" s="8"/>
      <c r="U835" s="14"/>
      <c r="V835" s="9"/>
    </row>
    <row r="836">
      <c r="R836" s="14"/>
      <c r="S836" s="8"/>
      <c r="U836" s="14"/>
      <c r="V836" s="9"/>
    </row>
    <row r="837">
      <c r="R837" s="14"/>
      <c r="S837" s="8"/>
      <c r="U837" s="14"/>
      <c r="V837" s="9"/>
    </row>
    <row r="838">
      <c r="R838" s="14"/>
      <c r="S838" s="8"/>
      <c r="U838" s="14"/>
      <c r="V838" s="9"/>
    </row>
    <row r="839">
      <c r="R839" s="14"/>
      <c r="S839" s="8"/>
      <c r="U839" s="14"/>
      <c r="V839" s="9"/>
    </row>
    <row r="840">
      <c r="R840" s="14"/>
      <c r="S840" s="8"/>
      <c r="U840" s="14"/>
      <c r="V840" s="9"/>
    </row>
    <row r="841">
      <c r="R841" s="14"/>
      <c r="S841" s="8"/>
      <c r="U841" s="14"/>
      <c r="V841" s="9"/>
    </row>
    <row r="842">
      <c r="R842" s="14"/>
      <c r="S842" s="8"/>
      <c r="U842" s="14"/>
      <c r="V842" s="9"/>
    </row>
    <row r="843">
      <c r="R843" s="14"/>
      <c r="S843" s="8"/>
      <c r="U843" s="14"/>
      <c r="V843" s="9"/>
    </row>
    <row r="844">
      <c r="R844" s="14"/>
      <c r="S844" s="8"/>
      <c r="U844" s="14"/>
      <c r="V844" s="9"/>
    </row>
    <row r="845">
      <c r="R845" s="14"/>
      <c r="S845" s="8"/>
      <c r="U845" s="14"/>
      <c r="V845" s="9"/>
    </row>
    <row r="846">
      <c r="R846" s="14"/>
      <c r="S846" s="8"/>
      <c r="U846" s="14"/>
      <c r="V846" s="9"/>
    </row>
    <row r="847">
      <c r="R847" s="14"/>
      <c r="S847" s="8"/>
      <c r="U847" s="14"/>
      <c r="V847" s="9"/>
    </row>
    <row r="848">
      <c r="R848" s="14"/>
      <c r="S848" s="8"/>
      <c r="U848" s="14"/>
      <c r="V848" s="9"/>
    </row>
    <row r="849">
      <c r="R849" s="14"/>
      <c r="S849" s="8"/>
      <c r="U849" s="14"/>
      <c r="V849" s="9"/>
    </row>
    <row r="850">
      <c r="R850" s="14"/>
      <c r="S850" s="8"/>
      <c r="U850" s="14"/>
      <c r="V850" s="9"/>
    </row>
    <row r="851">
      <c r="R851" s="14"/>
      <c r="S851" s="8"/>
      <c r="U851" s="14"/>
      <c r="V851" s="9"/>
    </row>
    <row r="852">
      <c r="R852" s="14"/>
      <c r="S852" s="8"/>
      <c r="U852" s="14"/>
      <c r="V852" s="9"/>
    </row>
    <row r="853">
      <c r="R853" s="14"/>
      <c r="S853" s="8"/>
      <c r="U853" s="14"/>
      <c r="V853" s="9"/>
    </row>
    <row r="854">
      <c r="R854" s="14"/>
      <c r="S854" s="8"/>
      <c r="U854" s="14"/>
      <c r="V854" s="9"/>
    </row>
    <row r="855">
      <c r="R855" s="14"/>
      <c r="S855" s="8"/>
      <c r="U855" s="14"/>
      <c r="V855" s="9"/>
    </row>
    <row r="856">
      <c r="R856" s="14"/>
      <c r="S856" s="8"/>
      <c r="U856" s="14"/>
      <c r="V856" s="9"/>
    </row>
    <row r="857">
      <c r="R857" s="14"/>
      <c r="S857" s="8"/>
      <c r="U857" s="14"/>
      <c r="V857" s="9"/>
    </row>
    <row r="858">
      <c r="R858" s="14"/>
      <c r="S858" s="8"/>
      <c r="U858" s="14"/>
      <c r="V858" s="9"/>
    </row>
    <row r="859">
      <c r="R859" s="14"/>
      <c r="S859" s="8"/>
      <c r="U859" s="14"/>
      <c r="V859" s="9"/>
    </row>
    <row r="860">
      <c r="R860" s="14"/>
      <c r="S860" s="8"/>
      <c r="U860" s="14"/>
      <c r="V860" s="9"/>
    </row>
    <row r="861">
      <c r="R861" s="14"/>
      <c r="S861" s="8"/>
      <c r="U861" s="14"/>
      <c r="V861" s="9"/>
    </row>
    <row r="862">
      <c r="R862" s="14"/>
      <c r="S862" s="8"/>
      <c r="U862" s="14"/>
      <c r="V862" s="9"/>
    </row>
    <row r="863">
      <c r="R863" s="14"/>
      <c r="S863" s="8"/>
      <c r="U863" s="14"/>
      <c r="V863" s="9"/>
    </row>
    <row r="864">
      <c r="R864" s="14"/>
      <c r="S864" s="8"/>
      <c r="U864" s="14"/>
      <c r="V864" s="9"/>
    </row>
    <row r="865">
      <c r="R865" s="14"/>
      <c r="S865" s="8"/>
      <c r="U865" s="14"/>
      <c r="V865" s="9"/>
    </row>
    <row r="866">
      <c r="R866" s="14"/>
      <c r="S866" s="8"/>
      <c r="U866" s="14"/>
      <c r="V866" s="9"/>
    </row>
    <row r="867">
      <c r="R867" s="14"/>
      <c r="S867" s="8"/>
      <c r="U867" s="14"/>
      <c r="V867" s="9"/>
    </row>
    <row r="868">
      <c r="R868" s="14"/>
      <c r="S868" s="8"/>
      <c r="U868" s="14"/>
      <c r="V868" s="9"/>
    </row>
    <row r="869">
      <c r="R869" s="14"/>
      <c r="S869" s="8"/>
      <c r="U869" s="14"/>
      <c r="V869" s="9"/>
    </row>
    <row r="870">
      <c r="R870" s="14"/>
      <c r="S870" s="8"/>
      <c r="U870" s="14"/>
      <c r="V870" s="9"/>
    </row>
    <row r="871">
      <c r="R871" s="14"/>
      <c r="S871" s="8"/>
      <c r="U871" s="14"/>
      <c r="V871" s="9"/>
    </row>
    <row r="872">
      <c r="R872" s="14"/>
      <c r="S872" s="8"/>
      <c r="U872" s="14"/>
      <c r="V872" s="9"/>
    </row>
    <row r="873">
      <c r="R873" s="14"/>
      <c r="S873" s="8"/>
      <c r="U873" s="14"/>
      <c r="V873" s="9"/>
    </row>
    <row r="874">
      <c r="R874" s="14"/>
      <c r="S874" s="8"/>
      <c r="U874" s="14"/>
      <c r="V874" s="9"/>
    </row>
    <row r="875">
      <c r="R875" s="14"/>
      <c r="S875" s="8"/>
      <c r="U875" s="14"/>
      <c r="V875" s="9"/>
    </row>
    <row r="876">
      <c r="R876" s="14"/>
      <c r="S876" s="8"/>
      <c r="U876" s="14"/>
      <c r="V876" s="9"/>
    </row>
    <row r="877">
      <c r="R877" s="14"/>
      <c r="S877" s="8"/>
      <c r="U877" s="14"/>
      <c r="V877" s="9"/>
    </row>
    <row r="878">
      <c r="R878" s="14"/>
      <c r="S878" s="8"/>
      <c r="U878" s="14"/>
      <c r="V878" s="9"/>
    </row>
    <row r="879">
      <c r="R879" s="14"/>
      <c r="S879" s="8"/>
      <c r="U879" s="14"/>
      <c r="V879" s="9"/>
    </row>
    <row r="880">
      <c r="R880" s="14"/>
      <c r="S880" s="8"/>
      <c r="U880" s="14"/>
      <c r="V880" s="9"/>
    </row>
    <row r="881">
      <c r="R881" s="14"/>
      <c r="S881" s="8"/>
      <c r="U881" s="14"/>
      <c r="V881" s="9"/>
    </row>
    <row r="882">
      <c r="R882" s="14"/>
      <c r="S882" s="8"/>
      <c r="U882" s="14"/>
      <c r="V882" s="9"/>
    </row>
    <row r="883">
      <c r="R883" s="14"/>
      <c r="S883" s="8"/>
      <c r="U883" s="14"/>
      <c r="V883" s="9"/>
    </row>
    <row r="884">
      <c r="R884" s="14"/>
      <c r="S884" s="8"/>
      <c r="U884" s="14"/>
      <c r="V884" s="9"/>
    </row>
    <row r="885">
      <c r="R885" s="14"/>
      <c r="S885" s="8"/>
      <c r="U885" s="14"/>
      <c r="V885" s="9"/>
    </row>
    <row r="886">
      <c r="R886" s="14"/>
      <c r="S886" s="8"/>
      <c r="U886" s="14"/>
      <c r="V886" s="9"/>
    </row>
    <row r="887">
      <c r="R887" s="14"/>
      <c r="S887" s="8"/>
      <c r="U887" s="14"/>
      <c r="V887" s="9"/>
    </row>
    <row r="888">
      <c r="R888" s="14"/>
      <c r="S888" s="8"/>
      <c r="U888" s="14"/>
      <c r="V888" s="9"/>
    </row>
    <row r="889">
      <c r="R889" s="14"/>
      <c r="S889" s="8"/>
      <c r="U889" s="14"/>
      <c r="V889" s="9"/>
    </row>
    <row r="890">
      <c r="R890" s="14"/>
      <c r="S890" s="8"/>
      <c r="U890" s="14"/>
      <c r="V890" s="9"/>
    </row>
    <row r="891">
      <c r="R891" s="14"/>
      <c r="S891" s="8"/>
      <c r="U891" s="14"/>
      <c r="V891" s="9"/>
    </row>
    <row r="892">
      <c r="R892" s="14"/>
      <c r="S892" s="8"/>
      <c r="U892" s="14"/>
      <c r="V892" s="9"/>
    </row>
    <row r="893">
      <c r="R893" s="14"/>
      <c r="S893" s="8"/>
      <c r="U893" s="14"/>
      <c r="V893" s="9"/>
    </row>
    <row r="894">
      <c r="R894" s="14"/>
      <c r="S894" s="8"/>
      <c r="U894" s="14"/>
      <c r="V894" s="9"/>
    </row>
    <row r="895">
      <c r="R895" s="14"/>
      <c r="S895" s="8"/>
      <c r="U895" s="14"/>
      <c r="V895" s="9"/>
    </row>
    <row r="896">
      <c r="R896" s="14"/>
      <c r="S896" s="8"/>
      <c r="U896" s="14"/>
      <c r="V896" s="9"/>
    </row>
    <row r="897">
      <c r="R897" s="14"/>
      <c r="S897" s="8"/>
      <c r="U897" s="14"/>
      <c r="V897" s="9"/>
    </row>
    <row r="898">
      <c r="R898" s="14"/>
      <c r="S898" s="8"/>
      <c r="U898" s="14"/>
      <c r="V898" s="9"/>
    </row>
    <row r="899">
      <c r="R899" s="14"/>
      <c r="S899" s="8"/>
      <c r="U899" s="14"/>
      <c r="V899" s="9"/>
    </row>
    <row r="900">
      <c r="R900" s="14"/>
      <c r="S900" s="8"/>
      <c r="U900" s="14"/>
      <c r="V900" s="9"/>
    </row>
    <row r="901">
      <c r="R901" s="14"/>
      <c r="S901" s="8"/>
      <c r="U901" s="14"/>
      <c r="V901" s="9"/>
    </row>
    <row r="902">
      <c r="R902" s="14"/>
      <c r="S902" s="8"/>
      <c r="U902" s="14"/>
      <c r="V902" s="9"/>
    </row>
    <row r="903">
      <c r="R903" s="14"/>
      <c r="S903" s="8"/>
      <c r="U903" s="14"/>
      <c r="V903" s="9"/>
    </row>
    <row r="904">
      <c r="R904" s="14"/>
      <c r="S904" s="8"/>
      <c r="U904" s="14"/>
      <c r="V904" s="9"/>
    </row>
    <row r="905">
      <c r="R905" s="14"/>
      <c r="S905" s="8"/>
      <c r="U905" s="14"/>
      <c r="V905" s="9"/>
    </row>
    <row r="906">
      <c r="R906" s="14"/>
      <c r="S906" s="8"/>
      <c r="U906" s="14"/>
      <c r="V906" s="9"/>
    </row>
    <row r="907">
      <c r="R907" s="14"/>
      <c r="S907" s="8"/>
      <c r="U907" s="14"/>
      <c r="V907" s="9"/>
    </row>
    <row r="908">
      <c r="R908" s="14"/>
      <c r="S908" s="8"/>
      <c r="U908" s="14"/>
      <c r="V908" s="9"/>
    </row>
    <row r="909">
      <c r="R909" s="14"/>
      <c r="S909" s="8"/>
      <c r="U909" s="14"/>
      <c r="V909" s="9"/>
    </row>
    <row r="910">
      <c r="R910" s="14"/>
      <c r="S910" s="8"/>
      <c r="U910" s="14"/>
      <c r="V910" s="9"/>
    </row>
    <row r="911">
      <c r="R911" s="14"/>
      <c r="S911" s="8"/>
      <c r="U911" s="14"/>
      <c r="V911" s="9"/>
    </row>
    <row r="912">
      <c r="R912" s="14"/>
      <c r="S912" s="8"/>
      <c r="U912" s="14"/>
      <c r="V912" s="9"/>
    </row>
    <row r="913">
      <c r="R913" s="14"/>
      <c r="S913" s="8"/>
      <c r="U913" s="14"/>
      <c r="V913" s="9"/>
    </row>
    <row r="914">
      <c r="R914" s="14"/>
      <c r="S914" s="8"/>
      <c r="U914" s="14"/>
      <c r="V914" s="9"/>
    </row>
    <row r="915">
      <c r="R915" s="14"/>
      <c r="S915" s="8"/>
      <c r="U915" s="14"/>
      <c r="V915" s="9"/>
    </row>
    <row r="916">
      <c r="R916" s="14"/>
      <c r="S916" s="8"/>
      <c r="U916" s="14"/>
      <c r="V916" s="9"/>
    </row>
    <row r="917">
      <c r="R917" s="14"/>
      <c r="S917" s="8"/>
      <c r="U917" s="14"/>
      <c r="V917" s="9"/>
    </row>
    <row r="918">
      <c r="R918" s="14"/>
      <c r="S918" s="8"/>
      <c r="U918" s="14"/>
      <c r="V918" s="9"/>
    </row>
    <row r="919">
      <c r="R919" s="14"/>
      <c r="S919" s="8"/>
      <c r="U919" s="14"/>
      <c r="V919" s="9"/>
    </row>
    <row r="920">
      <c r="R920" s="14"/>
      <c r="S920" s="8"/>
      <c r="U920" s="14"/>
      <c r="V920" s="9"/>
    </row>
    <row r="921">
      <c r="R921" s="14"/>
      <c r="S921" s="8"/>
      <c r="U921" s="14"/>
      <c r="V921" s="9"/>
    </row>
    <row r="922">
      <c r="R922" s="14"/>
      <c r="S922" s="8"/>
      <c r="U922" s="14"/>
      <c r="V922" s="9"/>
    </row>
    <row r="923">
      <c r="R923" s="14"/>
      <c r="S923" s="8"/>
      <c r="U923" s="14"/>
      <c r="V923" s="9"/>
    </row>
    <row r="924">
      <c r="R924" s="14"/>
      <c r="S924" s="8"/>
      <c r="U924" s="14"/>
      <c r="V924" s="9"/>
    </row>
    <row r="925">
      <c r="R925" s="14"/>
      <c r="S925" s="8"/>
      <c r="U925" s="14"/>
      <c r="V925" s="9"/>
    </row>
    <row r="926">
      <c r="R926" s="14"/>
      <c r="S926" s="8"/>
      <c r="U926" s="14"/>
      <c r="V926" s="9"/>
    </row>
    <row r="927">
      <c r="R927" s="14"/>
      <c r="S927" s="8"/>
      <c r="U927" s="14"/>
      <c r="V927" s="9"/>
    </row>
    <row r="928">
      <c r="R928" s="14"/>
      <c r="S928" s="8"/>
      <c r="U928" s="14"/>
      <c r="V928" s="9"/>
    </row>
    <row r="929">
      <c r="R929" s="14"/>
      <c r="S929" s="8"/>
      <c r="U929" s="14"/>
      <c r="V929" s="9"/>
    </row>
    <row r="930">
      <c r="R930" s="14"/>
      <c r="S930" s="8"/>
      <c r="U930" s="14"/>
      <c r="V930" s="9"/>
    </row>
    <row r="931">
      <c r="R931" s="14"/>
      <c r="S931" s="8"/>
      <c r="U931" s="14"/>
      <c r="V931" s="9"/>
    </row>
    <row r="932">
      <c r="R932" s="14"/>
      <c r="S932" s="8"/>
      <c r="U932" s="14"/>
      <c r="V932" s="9"/>
    </row>
    <row r="933">
      <c r="R933" s="14"/>
      <c r="S933" s="8"/>
      <c r="U933" s="14"/>
      <c r="V933" s="9"/>
    </row>
    <row r="934">
      <c r="R934" s="14"/>
      <c r="S934" s="8"/>
      <c r="U934" s="14"/>
      <c r="V934" s="9"/>
    </row>
    <row r="935">
      <c r="R935" s="14"/>
      <c r="S935" s="8"/>
      <c r="U935" s="14"/>
      <c r="V935" s="9"/>
    </row>
    <row r="936">
      <c r="R936" s="14"/>
      <c r="S936" s="8"/>
      <c r="U936" s="14"/>
      <c r="V936" s="9"/>
    </row>
    <row r="937">
      <c r="R937" s="14"/>
      <c r="S937" s="8"/>
      <c r="U937" s="14"/>
      <c r="V937" s="9"/>
    </row>
    <row r="938">
      <c r="R938" s="14"/>
      <c r="S938" s="8"/>
      <c r="U938" s="14"/>
      <c r="V938" s="9"/>
    </row>
    <row r="939">
      <c r="R939" s="14"/>
      <c r="S939" s="8"/>
      <c r="U939" s="14"/>
      <c r="V939" s="9"/>
    </row>
    <row r="940">
      <c r="R940" s="14"/>
      <c r="S940" s="8"/>
      <c r="U940" s="14"/>
      <c r="V940" s="9"/>
    </row>
    <row r="941">
      <c r="R941" s="14"/>
      <c r="S941" s="8"/>
      <c r="U941" s="14"/>
      <c r="V941" s="9"/>
    </row>
    <row r="942">
      <c r="R942" s="14"/>
      <c r="S942" s="8"/>
      <c r="U942" s="14"/>
      <c r="V942" s="9"/>
    </row>
    <row r="943">
      <c r="R943" s="14"/>
      <c r="S943" s="8"/>
      <c r="U943" s="14"/>
      <c r="V943" s="9"/>
    </row>
    <row r="944">
      <c r="R944" s="14"/>
      <c r="S944" s="8"/>
      <c r="U944" s="14"/>
      <c r="V944" s="9"/>
    </row>
    <row r="945">
      <c r="R945" s="14"/>
      <c r="S945" s="8"/>
      <c r="U945" s="14"/>
      <c r="V945" s="9"/>
    </row>
    <row r="946">
      <c r="R946" s="14"/>
      <c r="S946" s="8"/>
      <c r="U946" s="14"/>
      <c r="V946" s="9"/>
    </row>
    <row r="947">
      <c r="R947" s="14"/>
      <c r="S947" s="8"/>
      <c r="U947" s="14"/>
      <c r="V947" s="9"/>
    </row>
    <row r="948">
      <c r="R948" s="14"/>
      <c r="S948" s="8"/>
      <c r="U948" s="14"/>
      <c r="V948" s="9"/>
    </row>
    <row r="949">
      <c r="R949" s="14"/>
      <c r="S949" s="8"/>
      <c r="U949" s="14"/>
      <c r="V949" s="9"/>
    </row>
    <row r="950">
      <c r="R950" s="14"/>
      <c r="S950" s="8"/>
      <c r="U950" s="14"/>
      <c r="V950" s="9"/>
    </row>
    <row r="951">
      <c r="R951" s="14"/>
      <c r="S951" s="8"/>
      <c r="U951" s="14"/>
      <c r="V951" s="9"/>
    </row>
    <row r="952">
      <c r="R952" s="14"/>
      <c r="S952" s="8"/>
      <c r="U952" s="14"/>
      <c r="V952" s="9"/>
    </row>
    <row r="953">
      <c r="R953" s="14"/>
      <c r="S953" s="8"/>
      <c r="U953" s="14"/>
      <c r="V953" s="9"/>
    </row>
    <row r="954">
      <c r="R954" s="14"/>
      <c r="S954" s="8"/>
      <c r="U954" s="14"/>
      <c r="V954" s="9"/>
    </row>
    <row r="955">
      <c r="R955" s="14"/>
      <c r="S955" s="8"/>
      <c r="U955" s="14"/>
      <c r="V955" s="9"/>
    </row>
    <row r="956">
      <c r="R956" s="14"/>
      <c r="S956" s="8"/>
      <c r="U956" s="14"/>
      <c r="V956" s="9"/>
    </row>
    <row r="957">
      <c r="R957" s="14"/>
      <c r="S957" s="8"/>
      <c r="U957" s="14"/>
      <c r="V957" s="9"/>
    </row>
    <row r="958">
      <c r="R958" s="14"/>
      <c r="S958" s="8"/>
      <c r="U958" s="14"/>
      <c r="V958" s="9"/>
    </row>
    <row r="959">
      <c r="R959" s="14"/>
      <c r="S959" s="8"/>
      <c r="U959" s="14"/>
      <c r="V959" s="9"/>
    </row>
    <row r="960">
      <c r="R960" s="14"/>
      <c r="S960" s="8"/>
      <c r="U960" s="14"/>
      <c r="V960" s="9"/>
    </row>
    <row r="961">
      <c r="R961" s="14"/>
      <c r="S961" s="8"/>
      <c r="U961" s="14"/>
      <c r="V961" s="9"/>
    </row>
    <row r="962">
      <c r="R962" s="14"/>
      <c r="S962" s="8"/>
      <c r="U962" s="14"/>
      <c r="V962" s="9"/>
    </row>
    <row r="963">
      <c r="R963" s="14"/>
      <c r="S963" s="8"/>
      <c r="U963" s="14"/>
      <c r="V963" s="9"/>
    </row>
    <row r="964">
      <c r="R964" s="14"/>
      <c r="S964" s="8"/>
      <c r="U964" s="14"/>
      <c r="V964" s="9"/>
    </row>
    <row r="965">
      <c r="R965" s="14"/>
      <c r="S965" s="8"/>
      <c r="U965" s="14"/>
      <c r="V965" s="9"/>
    </row>
    <row r="966">
      <c r="R966" s="14"/>
      <c r="S966" s="8"/>
      <c r="U966" s="14"/>
      <c r="V966" s="9"/>
    </row>
    <row r="967">
      <c r="R967" s="14"/>
      <c r="S967" s="8"/>
      <c r="U967" s="14"/>
      <c r="V967" s="9"/>
    </row>
    <row r="968">
      <c r="R968" s="14"/>
      <c r="S968" s="8"/>
      <c r="U968" s="14"/>
      <c r="V968" s="9"/>
    </row>
    <row r="969">
      <c r="R969" s="14"/>
      <c r="S969" s="8"/>
      <c r="U969" s="14"/>
      <c r="V969" s="9"/>
    </row>
    <row r="970">
      <c r="R970" s="14"/>
      <c r="S970" s="8"/>
      <c r="U970" s="14"/>
      <c r="V970" s="9"/>
    </row>
    <row r="971">
      <c r="R971" s="14"/>
      <c r="S971" s="8"/>
      <c r="U971" s="14"/>
      <c r="V971" s="9"/>
    </row>
    <row r="972">
      <c r="R972" s="14"/>
      <c r="S972" s="8"/>
      <c r="U972" s="14"/>
      <c r="V972" s="9"/>
    </row>
    <row r="973">
      <c r="R973" s="14"/>
      <c r="S973" s="8"/>
      <c r="U973" s="14"/>
      <c r="V973" s="9"/>
    </row>
    <row r="974">
      <c r="R974" s="14"/>
      <c r="S974" s="8"/>
      <c r="U974" s="14"/>
      <c r="V974" s="9"/>
    </row>
    <row r="975">
      <c r="R975" s="14"/>
      <c r="S975" s="8"/>
      <c r="U975" s="14"/>
      <c r="V975" s="9"/>
    </row>
    <row r="976">
      <c r="R976" s="14"/>
      <c r="S976" s="8"/>
      <c r="U976" s="14"/>
      <c r="V976" s="9"/>
    </row>
    <row r="977">
      <c r="R977" s="14"/>
      <c r="S977" s="8"/>
      <c r="U977" s="14"/>
      <c r="V977" s="9"/>
    </row>
    <row r="978">
      <c r="R978" s="14"/>
      <c r="S978" s="8"/>
      <c r="U978" s="14"/>
      <c r="V978" s="9"/>
    </row>
    <row r="979">
      <c r="R979" s="14"/>
      <c r="S979" s="8"/>
      <c r="U979" s="14"/>
      <c r="V979" s="9"/>
    </row>
    <row r="980">
      <c r="R980" s="14"/>
      <c r="S980" s="8"/>
      <c r="U980" s="14"/>
      <c r="V980" s="9"/>
    </row>
    <row r="981">
      <c r="R981" s="14"/>
      <c r="S981" s="8"/>
      <c r="U981" s="14"/>
      <c r="V981" s="9"/>
    </row>
    <row r="982">
      <c r="R982" s="14"/>
      <c r="S982" s="8"/>
      <c r="U982" s="14"/>
      <c r="V982" s="9"/>
    </row>
    <row r="983">
      <c r="R983" s="14"/>
      <c r="S983" s="8"/>
      <c r="U983" s="14"/>
      <c r="V983" s="9"/>
    </row>
    <row r="984">
      <c r="R984" s="14"/>
      <c r="S984" s="8"/>
      <c r="U984" s="14"/>
      <c r="V984" s="9"/>
    </row>
    <row r="985">
      <c r="R985" s="14"/>
      <c r="S985" s="8"/>
      <c r="U985" s="14"/>
      <c r="V985" s="9"/>
    </row>
    <row r="986">
      <c r="R986" s="14"/>
      <c r="S986" s="8"/>
      <c r="U986" s="14"/>
      <c r="V986" s="9"/>
    </row>
    <row r="987">
      <c r="R987" s="14"/>
      <c r="S987" s="8"/>
      <c r="U987" s="14"/>
      <c r="V987" s="9"/>
    </row>
    <row r="988">
      <c r="R988" s="14"/>
      <c r="S988" s="8"/>
      <c r="U988" s="14"/>
      <c r="V988" s="9"/>
    </row>
    <row r="989">
      <c r="R989" s="14"/>
      <c r="S989" s="8"/>
      <c r="U989" s="14"/>
      <c r="V989" s="9"/>
    </row>
    <row r="990">
      <c r="R990" s="14"/>
      <c r="S990" s="8"/>
      <c r="U990" s="14"/>
      <c r="V990" s="9"/>
    </row>
    <row r="991">
      <c r="R991" s="14"/>
      <c r="S991" s="8"/>
      <c r="U991" s="14"/>
      <c r="V991" s="9"/>
    </row>
    <row r="992">
      <c r="R992" s="14"/>
      <c r="S992" s="8"/>
      <c r="U992" s="14"/>
      <c r="V992" s="9"/>
    </row>
    <row r="993">
      <c r="R993" s="14"/>
      <c r="S993" s="8"/>
      <c r="U993" s="14"/>
      <c r="V993" s="9"/>
    </row>
    <row r="994">
      <c r="R994" s="14"/>
      <c r="S994" s="8"/>
      <c r="U994" s="14"/>
      <c r="V994" s="9"/>
    </row>
    <row r="995">
      <c r="R995" s="14"/>
      <c r="S995" s="8"/>
      <c r="U995" s="14"/>
      <c r="V995" s="9"/>
    </row>
    <row r="996">
      <c r="R996" s="14"/>
      <c r="S996" s="8"/>
      <c r="U996" s="14"/>
      <c r="V996" s="9"/>
    </row>
    <row r="997">
      <c r="R997" s="14"/>
      <c r="S997" s="8"/>
      <c r="U997" s="14"/>
      <c r="V997" s="9"/>
    </row>
    <row r="998">
      <c r="R998" s="14"/>
      <c r="S998" s="8"/>
      <c r="U998" s="14"/>
      <c r="V998" s="9"/>
    </row>
    <row r="999">
      <c r="R999" s="14"/>
      <c r="S999" s="8"/>
      <c r="U999" s="14"/>
      <c r="V999" s="9"/>
    </row>
    <row r="1000">
      <c r="R1000" s="14"/>
      <c r="S1000" s="8"/>
      <c r="U1000" s="14"/>
      <c r="V1000" s="9"/>
    </row>
  </sheetData>
  <autoFilter ref="$A$3:$Z$605"/>
  <mergeCells count="9">
    <mergeCell ref="O52:S52"/>
    <mergeCell ref="U52:X52"/>
    <mergeCell ref="A1:X1"/>
    <mergeCell ref="R4:S4"/>
    <mergeCell ref="U4:V4"/>
    <mergeCell ref="O29:S29"/>
    <mergeCell ref="U29:X29"/>
    <mergeCell ref="Q30:R30"/>
    <mergeCell ref="U30:V3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71.13"/>
    <col customWidth="1" min="2" max="2" width="68.38"/>
    <col customWidth="1" min="3" max="3" width="51.88"/>
  </cols>
  <sheetData>
    <row r="1">
      <c r="A1" s="44" t="s">
        <v>1240</v>
      </c>
      <c r="D1" s="10"/>
      <c r="E1" s="10"/>
      <c r="F1" s="10"/>
      <c r="G1" s="10"/>
      <c r="H1" s="10"/>
    </row>
    <row r="2">
      <c r="A2" s="45" t="s">
        <v>1241</v>
      </c>
      <c r="B2" s="45" t="s">
        <v>1242</v>
      </c>
      <c r="C2" s="46" t="s">
        <v>1243</v>
      </c>
    </row>
    <row r="3" ht="25.5" customHeight="1">
      <c r="A3" s="47" t="s">
        <v>1244</v>
      </c>
      <c r="B3" s="48"/>
      <c r="C3" s="49"/>
    </row>
    <row r="4" ht="37.5" customHeight="1">
      <c r="B4" s="50" t="s">
        <v>1245</v>
      </c>
      <c r="C4" s="51" t="s">
        <v>1246</v>
      </c>
    </row>
    <row r="5">
      <c r="B5" s="52" t="s">
        <v>1247</v>
      </c>
    </row>
    <row r="6">
      <c r="B6" s="52" t="s">
        <v>1248</v>
      </c>
    </row>
    <row r="7">
      <c r="B7" s="52" t="s">
        <v>1249</v>
      </c>
    </row>
    <row r="8">
      <c r="B8" s="53" t="s">
        <v>1250</v>
      </c>
    </row>
    <row r="9">
      <c r="B9" s="53" t="s">
        <v>1251</v>
      </c>
    </row>
    <row r="10">
      <c r="B10" s="53" t="s">
        <v>1252</v>
      </c>
    </row>
    <row r="11">
      <c r="B11" s="52" t="s">
        <v>1253</v>
      </c>
    </row>
    <row r="16">
      <c r="A16" s="47" t="s">
        <v>1254</v>
      </c>
      <c r="B16" s="54"/>
      <c r="C16" s="54"/>
    </row>
    <row r="17">
      <c r="B17" s="3" t="s">
        <v>1255</v>
      </c>
      <c r="C17" s="51" t="s">
        <v>1256</v>
      </c>
    </row>
    <row r="18">
      <c r="B18" s="52" t="s">
        <v>1247</v>
      </c>
    </row>
    <row r="19">
      <c r="B19" s="52" t="s">
        <v>1257</v>
      </c>
    </row>
    <row r="20">
      <c r="B20" s="52" t="s">
        <v>1258</v>
      </c>
    </row>
    <row r="21">
      <c r="B21" s="53" t="s">
        <v>1259</v>
      </c>
    </row>
    <row r="22">
      <c r="B22" s="53" t="s">
        <v>1251</v>
      </c>
    </row>
    <row r="23">
      <c r="B23" s="55" t="s">
        <v>1260</v>
      </c>
    </row>
    <row r="24">
      <c r="B24" s="53" t="s">
        <v>1261</v>
      </c>
    </row>
    <row r="25">
      <c r="B25" s="56" t="s">
        <v>1262</v>
      </c>
    </row>
    <row r="26">
      <c r="B26" s="52" t="s">
        <v>1263</v>
      </c>
    </row>
    <row r="32">
      <c r="A32" s="47" t="s">
        <v>1264</v>
      </c>
      <c r="B32" s="54"/>
      <c r="C32" s="54"/>
    </row>
    <row r="33">
      <c r="B33" s="31" t="s">
        <v>1265</v>
      </c>
      <c r="C33" s="51" t="s">
        <v>1266</v>
      </c>
    </row>
    <row r="34">
      <c r="B34" s="52" t="s">
        <v>1247</v>
      </c>
    </row>
    <row r="35">
      <c r="B35" s="52" t="s">
        <v>1267</v>
      </c>
    </row>
    <row r="36">
      <c r="B36" s="52" t="s">
        <v>1268</v>
      </c>
    </row>
    <row r="37">
      <c r="B37" s="53" t="s">
        <v>1269</v>
      </c>
    </row>
    <row r="38">
      <c r="B38" s="53" t="s">
        <v>1251</v>
      </c>
    </row>
    <row r="39">
      <c r="B39" s="53" t="s">
        <v>1270</v>
      </c>
    </row>
    <row r="40">
      <c r="B40" s="52" t="s">
        <v>1271</v>
      </c>
    </row>
    <row r="47">
      <c r="A47" s="47" t="s">
        <v>1272</v>
      </c>
      <c r="B47" s="54"/>
      <c r="C47" s="54"/>
    </row>
    <row r="48">
      <c r="B48" s="31" t="s">
        <v>1273</v>
      </c>
      <c r="C48" s="57" t="s">
        <v>1274</v>
      </c>
    </row>
    <row r="49">
      <c r="B49" s="52" t="s">
        <v>1247</v>
      </c>
    </row>
    <row r="50">
      <c r="B50" s="58" t="s">
        <v>1275</v>
      </c>
    </row>
    <row r="51">
      <c r="B51" s="58" t="s">
        <v>1276</v>
      </c>
    </row>
    <row r="52">
      <c r="B52" s="53" t="s">
        <v>1251</v>
      </c>
    </row>
    <row r="53">
      <c r="B53" s="55" t="s">
        <v>1277</v>
      </c>
    </row>
    <row r="54">
      <c r="B54" s="53" t="s">
        <v>1278</v>
      </c>
    </row>
    <row r="55">
      <c r="B55" s="52" t="s">
        <v>1279</v>
      </c>
    </row>
  </sheetData>
  <mergeCells count="9">
    <mergeCell ref="C33:C46"/>
    <mergeCell ref="C48:C56"/>
    <mergeCell ref="A1:C1"/>
    <mergeCell ref="A4:A15"/>
    <mergeCell ref="C4:C15"/>
    <mergeCell ref="A17:A31"/>
    <mergeCell ref="C17:C31"/>
    <mergeCell ref="A33:A46"/>
    <mergeCell ref="A48:A5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showGridLines="0" workbookViewId="0"/>
  </sheetViews>
  <sheetFormatPr customHeight="1" defaultColWidth="12.63" defaultRowHeight="15.75"/>
  <cols>
    <col customWidth="1" min="1" max="1" width="24.13"/>
    <col customWidth="1" min="2" max="2" width="16.25"/>
    <col customWidth="1" min="3" max="3" width="21.0"/>
    <col customWidth="1" min="4" max="4" width="16.38"/>
    <col customWidth="1" min="5" max="5" width="10.88"/>
    <col customWidth="1" min="7" max="7" width="15.5"/>
    <col customWidth="1" min="9" max="9" width="18.38"/>
    <col customWidth="1" min="10" max="10" width="19.0"/>
    <col customWidth="1" min="12" max="12" width="15.38"/>
    <col customWidth="1" min="13" max="13" width="17.88"/>
  </cols>
  <sheetData>
    <row r="1">
      <c r="D1" s="59" t="s">
        <v>1280</v>
      </c>
    </row>
    <row r="3">
      <c r="C3" s="60" t="s">
        <v>1281</v>
      </c>
      <c r="F3" s="60" t="s">
        <v>1282</v>
      </c>
      <c r="I3" s="60" t="s">
        <v>1283</v>
      </c>
      <c r="L3" s="60" t="s">
        <v>1284</v>
      </c>
    </row>
    <row r="4">
      <c r="C4" s="61">
        <f>IFERROR(__xludf.DUMMYFUNCTION("COUNTUNIQUE('Raw Data'!A2:A1000)"),600.0)</f>
        <v>600</v>
      </c>
      <c r="F4" s="61">
        <f>COUNTIF('Raw Data'!H2:H601,1)</f>
        <v>337</v>
      </c>
      <c r="I4" s="62">
        <f>AVERAGE('Raw Data'!F2:F601)</f>
        <v>2.505</v>
      </c>
      <c r="L4" s="62">
        <f>AVERAGE('Raw Data'!I2:I601)</f>
        <v>34.08666667</v>
      </c>
    </row>
    <row r="6">
      <c r="C6" s="63" t="s">
        <v>1285</v>
      </c>
      <c r="F6" s="64" t="s">
        <v>1286</v>
      </c>
      <c r="I6" s="65" t="s">
        <v>1287</v>
      </c>
      <c r="L6" s="65" t="s">
        <v>1288</v>
      </c>
    </row>
    <row r="7">
      <c r="C7" s="66">
        <f>ROUND(COUNTIF('Raw Data'!L2:L601,1)/COUNTA('Raw Data'!L2:L601),2)</f>
        <v>0.67</v>
      </c>
      <c r="F7" s="66">
        <f>COUNTIF('Raw Data'!H2:H601,1)/COUNTA('Raw Data'!H2:H601)</f>
        <v>0.5616666667</v>
      </c>
      <c r="I7" s="66">
        <f>AVERAGE('Raw Data'!G2:G601)/100</f>
        <v>0.4993989983</v>
      </c>
      <c r="L7" s="61" t="str">
        <f t="array" ref="L7">INDEX(UNIQUE('Raw Data'!K2:K601),MATCH(MAX(COUNTIF('Raw Data'!K2:K601,UNIQUE('Raw Data'!K2:K601))),COUNTIF('Raw Data'!K2:K601,UNIQUE('Raw Data'!K2:K601)),0))</f>
        <v>Tablet</v>
      </c>
    </row>
    <row r="9">
      <c r="B9" s="67" t="str">
        <f t="array" ref="B9:C14">EDA!R4:S9</f>
        <v>Середній рейтинг курсів за категоріями</v>
      </c>
      <c r="I9" s="68" t="str">
        <f t="array" ref="I9:J14">EDA!U30:V35</f>
        <v>Середній відсоток завершення курсів у кожній категорії</v>
      </c>
      <c r="L9" s="69" t="s">
        <v>1289</v>
      </c>
    </row>
    <row r="10">
      <c r="B10" s="70" t="s">
        <v>4</v>
      </c>
      <c r="C10" s="71" t="s">
        <v>1290</v>
      </c>
      <c r="I10" s="72" t="s">
        <v>4</v>
      </c>
      <c r="J10" s="72" t="s">
        <v>1291</v>
      </c>
      <c r="L10" s="61">
        <f>IFERROR(__xludf.DUMMYFUNCTION("COUNTUNIQUE('Raw Data'!J2:J601)"),5.0)</f>
        <v>5</v>
      </c>
    </row>
    <row r="11">
      <c r="B11" s="7" t="s">
        <v>22</v>
      </c>
      <c r="C11" s="32">
        <v>2.698581560283688</v>
      </c>
      <c r="I11" s="7" t="s">
        <v>22</v>
      </c>
      <c r="J11" s="73">
        <v>0.6312056737588653</v>
      </c>
    </row>
    <row r="12">
      <c r="B12" s="7" t="s">
        <v>29</v>
      </c>
      <c r="C12" s="32">
        <v>2.6318181818181814</v>
      </c>
      <c r="I12" s="7" t="s">
        <v>29</v>
      </c>
      <c r="J12" s="73">
        <v>0.5584415584415584</v>
      </c>
    </row>
    <row r="13">
      <c r="B13" s="7" t="s">
        <v>14</v>
      </c>
      <c r="C13" s="32">
        <v>2.430921052631579</v>
      </c>
      <c r="I13" s="7" t="s">
        <v>38</v>
      </c>
      <c r="J13" s="73">
        <v>0.5555555555555556</v>
      </c>
    </row>
    <row r="14">
      <c r="B14" s="7" t="s">
        <v>38</v>
      </c>
      <c r="C14" s="32">
        <v>2.272549019607843</v>
      </c>
      <c r="I14" s="7" t="s">
        <v>14</v>
      </c>
      <c r="J14" s="73">
        <v>0.506578947368421</v>
      </c>
    </row>
    <row r="16">
      <c r="B16" s="74" t="str">
        <f t="array" ref="B16:C22">EDA!Q30:R36</f>
        <v>Топ країни за кількістю студентів</v>
      </c>
    </row>
    <row r="17">
      <c r="B17" s="72" t="s">
        <v>9</v>
      </c>
      <c r="C17" s="72" t="s">
        <v>1292</v>
      </c>
    </row>
    <row r="18">
      <c r="B18" s="7" t="s">
        <v>32</v>
      </c>
      <c r="C18" s="7">
        <v>125.0</v>
      </c>
    </row>
    <row r="19">
      <c r="B19" s="7" t="s">
        <v>35</v>
      </c>
      <c r="C19" s="7">
        <v>124.0</v>
      </c>
    </row>
    <row r="20">
      <c r="B20" s="7" t="s">
        <v>19</v>
      </c>
      <c r="C20" s="7">
        <v>123.0</v>
      </c>
    </row>
    <row r="21">
      <c r="B21" s="7" t="s">
        <v>23</v>
      </c>
      <c r="C21" s="7">
        <v>116.0</v>
      </c>
    </row>
    <row r="22">
      <c r="B22" s="7" t="s">
        <v>15</v>
      </c>
      <c r="C22" s="7">
        <v>112.0</v>
      </c>
    </row>
    <row r="23">
      <c r="F23" s="68" t="str">
        <f t="array" ref="F23:G27">EDA!U4:V8</f>
        <v>Розподіл користувачів за пристроями</v>
      </c>
    </row>
    <row r="24">
      <c r="F24" s="72" t="s">
        <v>10</v>
      </c>
      <c r="G24" s="72" t="s">
        <v>1292</v>
      </c>
    </row>
    <row r="25">
      <c r="F25" s="7" t="s">
        <v>16</v>
      </c>
      <c r="G25" s="7">
        <v>220.0</v>
      </c>
    </row>
    <row r="26">
      <c r="F26" s="7" t="s">
        <v>26</v>
      </c>
      <c r="G26" s="7">
        <v>201.0</v>
      </c>
    </row>
    <row r="27">
      <c r="F27" s="7" t="s">
        <v>47</v>
      </c>
      <c r="G27" s="7">
        <v>179.0</v>
      </c>
    </row>
    <row r="29">
      <c r="J29" s="75" t="s">
        <v>1293</v>
      </c>
    </row>
    <row r="30"/>
    <row r="31"/>
    <row r="32"/>
    <row r="33"/>
    <row r="34"/>
    <row r="35"/>
  </sheetData>
  <mergeCells count="24">
    <mergeCell ref="L3:M3"/>
    <mergeCell ref="L4:M4"/>
    <mergeCell ref="D1:K1"/>
    <mergeCell ref="C3:D3"/>
    <mergeCell ref="F3:G3"/>
    <mergeCell ref="I3:J3"/>
    <mergeCell ref="C4:D4"/>
    <mergeCell ref="F4:G4"/>
    <mergeCell ref="I4:J4"/>
    <mergeCell ref="C7:D7"/>
    <mergeCell ref="B9:C9"/>
    <mergeCell ref="I9:J9"/>
    <mergeCell ref="L9:M9"/>
    <mergeCell ref="L10:M10"/>
    <mergeCell ref="B16:C16"/>
    <mergeCell ref="F23:G23"/>
    <mergeCell ref="J29:L29"/>
    <mergeCell ref="C6:D6"/>
    <mergeCell ref="F6:G6"/>
    <mergeCell ref="I6:J6"/>
    <mergeCell ref="L6:M6"/>
    <mergeCell ref="F7:G7"/>
    <mergeCell ref="I7:J7"/>
    <mergeCell ref="L7:M7"/>
  </mergeCell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3" max="13" width="16.25"/>
  </cols>
  <sheetData>
    <row r="1">
      <c r="C1" s="77" t="s">
        <v>1297</v>
      </c>
    </row>
    <row r="2">
      <c r="A2" s="3" t="s">
        <v>1298</v>
      </c>
    </row>
    <row r="3">
      <c r="A3" s="3" t="s">
        <v>1299</v>
      </c>
    </row>
    <row r="4">
      <c r="A4" s="78"/>
      <c r="B4" s="78"/>
      <c r="C4" s="78"/>
      <c r="D4" s="78"/>
    </row>
    <row r="5">
      <c r="A5" s="60" t="s">
        <v>1300</v>
      </c>
    </row>
    <row r="6">
      <c r="A6" s="3" t="s">
        <v>1301</v>
      </c>
    </row>
    <row r="7">
      <c r="A7" s="3" t="s">
        <v>1302</v>
      </c>
    </row>
    <row r="8">
      <c r="A8" s="79" t="s">
        <v>1303</v>
      </c>
    </row>
    <row r="9">
      <c r="A9" s="3" t="s">
        <v>1304</v>
      </c>
    </row>
    <row r="10">
      <c r="A10" s="79" t="s">
        <v>1305</v>
      </c>
    </row>
    <row r="11">
      <c r="A11" s="3" t="s">
        <v>1306</v>
      </c>
    </row>
    <row r="12">
      <c r="A12" s="3" t="s">
        <v>1307</v>
      </c>
    </row>
    <row r="13">
      <c r="A13" s="3" t="s">
        <v>1308</v>
      </c>
    </row>
    <row r="14">
      <c r="A14" s="60" t="s">
        <v>1309</v>
      </c>
    </row>
    <row r="15">
      <c r="A15" s="3" t="s">
        <v>1310</v>
      </c>
    </row>
    <row r="16">
      <c r="A16" s="3" t="s">
        <v>1311</v>
      </c>
    </row>
    <row r="17">
      <c r="A17" s="79" t="s">
        <v>1303</v>
      </c>
    </row>
    <row r="18">
      <c r="A18" s="3" t="s">
        <v>1312</v>
      </c>
    </row>
    <row r="19">
      <c r="A19" s="78" t="s">
        <v>1305</v>
      </c>
    </row>
    <row r="20">
      <c r="A20" s="3" t="s">
        <v>1313</v>
      </c>
    </row>
    <row r="21">
      <c r="A21" s="3" t="s">
        <v>1314</v>
      </c>
    </row>
    <row r="22">
      <c r="A22" s="60" t="s">
        <v>1315</v>
      </c>
    </row>
    <row r="23">
      <c r="A23" s="3" t="s">
        <v>1316</v>
      </c>
    </row>
    <row r="24">
      <c r="A24" s="3" t="s">
        <v>1317</v>
      </c>
    </row>
    <row r="25">
      <c r="A25" s="78" t="s">
        <v>1303</v>
      </c>
    </row>
    <row r="26">
      <c r="A26" s="3" t="s">
        <v>1318</v>
      </c>
    </row>
    <row r="27">
      <c r="A27" s="78" t="s">
        <v>1305</v>
      </c>
    </row>
    <row r="28">
      <c r="A28" s="3" t="s">
        <v>1319</v>
      </c>
    </row>
    <row r="29">
      <c r="A29" s="3" t="s">
        <v>1320</v>
      </c>
    </row>
    <row r="30">
      <c r="A30" s="60" t="s">
        <v>1321</v>
      </c>
    </row>
    <row r="31">
      <c r="A31" s="3" t="s">
        <v>1322</v>
      </c>
    </row>
    <row r="32">
      <c r="A32" s="78" t="s">
        <v>1303</v>
      </c>
    </row>
    <row r="33">
      <c r="A33" s="3" t="s">
        <v>1323</v>
      </c>
    </row>
    <row r="34">
      <c r="A34" s="3" t="s">
        <v>1324</v>
      </c>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78" t="s">
        <v>1305</v>
      </c>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3" t="s">
        <v>1325</v>
      </c>
    </row>
    <row r="37">
      <c r="A37" s="3" t="s">
        <v>1326</v>
      </c>
    </row>
    <row r="38">
      <c r="A38" s="3" t="s">
        <v>1327</v>
      </c>
    </row>
    <row r="39">
      <c r="A39" s="3" t="s">
        <v>1328</v>
      </c>
    </row>
    <row r="40">
      <c r="A40" s="60" t="s">
        <v>1329</v>
      </c>
    </row>
    <row r="41">
      <c r="A41" s="3" t="s">
        <v>1330</v>
      </c>
    </row>
    <row r="42">
      <c r="A42" s="3" t="s">
        <v>1331</v>
      </c>
    </row>
    <row r="43">
      <c r="A43" s="78" t="s">
        <v>1303</v>
      </c>
    </row>
    <row r="44">
      <c r="A44" s="3" t="s">
        <v>1332</v>
      </c>
    </row>
    <row r="45">
      <c r="A45" s="3" t="s">
        <v>1333</v>
      </c>
    </row>
    <row r="46">
      <c r="A46" s="78" t="s">
        <v>1305</v>
      </c>
    </row>
    <row r="47">
      <c r="A47" s="3" t="s">
        <v>1334</v>
      </c>
    </row>
    <row r="48">
      <c r="A48" s="3" t="s">
        <v>1335</v>
      </c>
    </row>
    <row r="49">
      <c r="A49" s="3" t="s">
        <v>1336</v>
      </c>
    </row>
    <row r="50">
      <c r="A50" s="3" t="s">
        <v>1337</v>
      </c>
    </row>
    <row r="51">
      <c r="A51" s="60" t="s">
        <v>1338</v>
      </c>
    </row>
    <row r="52">
      <c r="A52" s="3" t="s">
        <v>1339</v>
      </c>
    </row>
    <row r="53">
      <c r="A53" s="78" t="s">
        <v>1303</v>
      </c>
    </row>
    <row r="54">
      <c r="A54" s="3" t="s">
        <v>1340</v>
      </c>
    </row>
    <row r="55">
      <c r="A55" s="78" t="s">
        <v>1305</v>
      </c>
    </row>
    <row r="56">
      <c r="A56" s="3" t="s">
        <v>1341</v>
      </c>
    </row>
    <row r="57">
      <c r="A57" s="3" t="s">
        <v>1342</v>
      </c>
    </row>
    <row r="58">
      <c r="A58" s="3" t="s">
        <v>1343</v>
      </c>
    </row>
    <row r="59">
      <c r="A59" s="80" t="s">
        <v>1344</v>
      </c>
    </row>
    <row r="60">
      <c r="A60" s="3" t="s">
        <v>1345</v>
      </c>
    </row>
    <row r="61">
      <c r="A61" s="3" t="s">
        <v>1346</v>
      </c>
    </row>
    <row r="62">
      <c r="A62" s="3" t="s">
        <v>1347</v>
      </c>
    </row>
    <row r="63">
      <c r="A63" s="3" t="s">
        <v>1348</v>
      </c>
    </row>
    <row r="64">
      <c r="A64" s="78" t="s">
        <v>1305</v>
      </c>
    </row>
    <row r="65">
      <c r="A65" s="3" t="s">
        <v>1349</v>
      </c>
    </row>
    <row r="66">
      <c r="A66" s="3" t="s">
        <v>1350</v>
      </c>
    </row>
    <row r="67">
      <c r="A67" s="3" t="s">
        <v>1351</v>
      </c>
    </row>
  </sheetData>
  <mergeCells count="8">
    <mergeCell ref="C1:J1"/>
    <mergeCell ref="A5:D5"/>
    <mergeCell ref="A14:D14"/>
    <mergeCell ref="A22:D22"/>
    <mergeCell ref="A30:D30"/>
    <mergeCell ref="A40:D40"/>
    <mergeCell ref="A51:D51"/>
    <mergeCell ref="A59:D59"/>
  </mergeCells>
  <drawing r:id="rId1"/>
</worksheet>
</file>